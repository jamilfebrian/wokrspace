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Jamil\Work\MS BRIBox\Form Akomodasi\"/>
    </mc:Choice>
  </mc:AlternateContent>
  <xr:revisionPtr revIDLastSave="0" documentId="13_ncr:1_{AC0ED2D0-A66C-452D-BF64-AF98BDA312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C19" i="1"/>
  <c r="C21" i="1" s="1"/>
  <c r="C23" i="1" s="1"/>
  <c r="C24" i="1" s="1"/>
  <c r="E5" i="1" s="1"/>
  <c r="E17" i="1" s="1"/>
</calcChain>
</file>

<file path=xl/sharedStrings.xml><?xml version="1.0" encoding="utf-8"?>
<sst xmlns="http://schemas.openxmlformats.org/spreadsheetml/2006/main" count="76" uniqueCount="70">
  <si>
    <t>TIKET ( TUJUAN )</t>
  </si>
  <si>
    <t>FOTO MAP 
( Jarak dari kc standby ke uker )</t>
  </si>
  <si>
    <t>ESTIMASI / RINCIAN NOMINAL BIAYA PENGAJUAN / REIMBES / PENGIRIMAN</t>
  </si>
  <si>
    <t>KETERANGAN</t>
  </si>
  <si>
    <t>Tanggal PM</t>
  </si>
  <si>
    <t>Transportasi</t>
  </si>
  <si>
    <t>Estimasi Biaya</t>
  </si>
  <si>
    <t>Nama Jasa Transportasi</t>
  </si>
  <si>
    <t>Norek Jasa Transportasi</t>
  </si>
  <si>
    <t>Nama Bank Jasa Transportasi</t>
  </si>
  <si>
    <t>Kode Uker</t>
  </si>
  <si>
    <t>Kanca</t>
  </si>
  <si>
    <t>Uker</t>
  </si>
  <si>
    <t>Jenis Perangkat</t>
  </si>
  <si>
    <t>Penginapan</t>
  </si>
  <si>
    <t>Nama Penginapan</t>
  </si>
  <si>
    <t>Norek Penginapan</t>
  </si>
  <si>
    <t>Nama Bank Jasa Penginapan</t>
  </si>
  <si>
    <t>Serial Number</t>
  </si>
  <si>
    <t>-</t>
  </si>
  <si>
    <t>Asset Id</t>
  </si>
  <si>
    <t>Pengiriman</t>
  </si>
  <si>
    <t>Nama Jasa Pengiriman</t>
  </si>
  <si>
    <t>Norek Jasa Pengiriman</t>
  </si>
  <si>
    <t>Nama Bank Jasa Pengiriman</t>
  </si>
  <si>
    <t>Ade Saputra</t>
  </si>
  <si>
    <t>Kilometer Jarak</t>
  </si>
  <si>
    <t>Kanwil</t>
  </si>
  <si>
    <t>Lokasi Standby KC</t>
  </si>
  <si>
    <t>tanggal kunjungan</t>
  </si>
  <si>
    <t>No. Hp</t>
  </si>
  <si>
    <t>Total Biaya</t>
  </si>
  <si>
    <t>Yang Mengajukan,</t>
  </si>
  <si>
    <t>Leader Bribox kanwil Medan</t>
  </si>
  <si>
    <t>Verifikator 1</t>
  </si>
  <si>
    <t>Verifikator 2</t>
  </si>
  <si>
    <t xml:space="preserve">Approval </t>
  </si>
  <si>
    <t>Kamis, 2 Oktober 2025</t>
  </si>
  <si>
    <t>Bank BRI</t>
  </si>
  <si>
    <t>Tambahan BBM</t>
  </si>
  <si>
    <t>PC AIO</t>
  </si>
  <si>
    <t>Perkerjaan</t>
  </si>
  <si>
    <t>Jumlah Unit</t>
  </si>
  <si>
    <t>Nama Teknisi</t>
  </si>
  <si>
    <t>Nomor Rekening</t>
  </si>
  <si>
    <t>Pemasangan PC AIO</t>
  </si>
  <si>
    <t>Jarak Tempuh</t>
  </si>
  <si>
    <t>Konsumsi BBM 1 L/30 KM</t>
  </si>
  <si>
    <t>Hraga BBM Pertamax</t>
  </si>
  <si>
    <t xml:space="preserve">Biaya BBM </t>
  </si>
  <si>
    <t>Biya BBM PP</t>
  </si>
  <si>
    <t>Tata Cara</t>
  </si>
  <si>
    <t xml:space="preserve">Screenshot Map jarak tempu dalam 1 perjalan </t>
  </si>
  <si>
    <t>Isi Kode Uker Target Pemasangan</t>
  </si>
  <si>
    <t>Isi Nama Uker sesuai rute perjalanan</t>
  </si>
  <si>
    <t>Masukan Jumlah Unit target pemasangan</t>
  </si>
  <si>
    <t>Masukan Nomor Rekening = harus sesuai Nama Pemilik dan Nomor Rekening</t>
  </si>
  <si>
    <t>Masukan Kantor Cabang Stanby</t>
  </si>
  <si>
    <t>Masukan Nomor HP..</t>
  </si>
  <si>
    <t>Masukan jumlah  jarak tempuh di kolom Kilometer Jarak [secara otomatis akan mengisi Kebutuhan BBM dan Jumlah Rupiah</t>
  </si>
  <si>
    <t>Masukan Jumlah Malam jika menginap</t>
  </si>
  <si>
    <t>Lumpsum Malam</t>
  </si>
  <si>
    <t>BBM Liter  Diperlukan</t>
  </si>
  <si>
    <t>isi kolom warana kuning</t>
  </si>
  <si>
    <t>Payakumbuh</t>
  </si>
  <si>
    <t>Muara Paiti - Pangkalan - Suliki</t>
  </si>
  <si>
    <t>Jamil Febrian</t>
  </si>
  <si>
    <t>Padang</t>
  </si>
  <si>
    <t>Batusangkar</t>
  </si>
  <si>
    <t>Motor Pribadi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</si>
</sst>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[$-F800]dddd\,\ mmmm\ dd\,\ yyyy"/>
    <numFmt numFmtId="165" formatCode="[$Rp-3809]#,##0"/>
    <numFmt numFmtId="166" formatCode="_-* #,##0.00_-;\-* #,##0.00_-;_-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0" fillId="3" borderId="1" xfId="0" applyFill="1" applyBorder="1"/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1" fontId="0" fillId="5" borderId="1" xfId="0" applyNumberFormat="1" applyFill="1" applyBorder="1" applyAlignment="1">
      <alignment horizontal="left" vertical="center"/>
    </xf>
    <xf numFmtId="41" fontId="0" fillId="0" borderId="0" xfId="1" applyFont="1"/>
    <xf numFmtId="164" fontId="0" fillId="5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center"/>
    </xf>
    <xf numFmtId="0" fontId="4" fillId="6" borderId="1" xfId="0" applyFont="1" applyFill="1" applyBorder="1"/>
    <xf numFmtId="41" fontId="4" fillId="6" borderId="1" xfId="1" applyFont="1" applyFill="1" applyBorder="1"/>
    <xf numFmtId="166" fontId="4" fillId="6" borderId="1" xfId="1" applyNumberFormat="1" applyFont="1" applyFill="1" applyBorder="1"/>
    <xf numFmtId="165" fontId="0" fillId="6" borderId="1" xfId="0" applyNumberFormat="1" applyFill="1" applyBorder="1" applyAlignment="1">
      <alignment vertical="center"/>
    </xf>
    <xf numFmtId="165" fontId="0" fillId="6" borderId="1" xfId="0" applyNumberFormat="1" applyFill="1" applyBorder="1"/>
    <xf numFmtId="0" fontId="0" fillId="6" borderId="1" xfId="0" applyFill="1" applyBorder="1"/>
    <xf numFmtId="0" fontId="0" fillId="0" borderId="0" xfId="0" applyAlignment="1">
      <alignment horizontal="right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165" fontId="0" fillId="4" borderId="1" xfId="0" applyNumberFormat="1" applyFill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72647</xdr:colOff>
      <xdr:row>1</xdr:row>
      <xdr:rowOff>20169</xdr:rowOff>
    </xdr:from>
    <xdr:to>
      <xdr:col>2</xdr:col>
      <xdr:colOff>1310343</xdr:colOff>
      <xdr:row>12</xdr:row>
      <xdr:rowOff>540826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1A4096-BCCB-512B-1921-2F32B9F6A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0867" y="593283"/>
          <a:ext cx="1237696" cy="2837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1372787</xdr:colOff>
      <xdr:row>1</xdr:row>
      <xdr:rowOff>32288</xdr:rowOff>
    </xdr:from>
    <xdr:to>
      <xdr:col>2</xdr:col>
      <xdr:colOff>2608879</xdr:colOff>
      <xdr:row>12</xdr:row>
      <xdr:rowOff>544216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6AD771-AED4-797B-455D-991175F55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1007" y="605402"/>
          <a:ext cx="1236092" cy="2828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zoomScaleNormal="100" workbookViewId="0">
      <selection activeCell="D6" sqref="D6"/>
    </sheetView>
  </sheetViews>
  <sheetFormatPr defaultRowHeight="15" x14ac:dyDescent="0.25"/>
  <cols>
    <col min="1" max="1" width="17.5703125" bestFit="1" customWidth="1"/>
    <col min="2" max="2" width="26.5703125" bestFit="1" customWidth="1"/>
    <col min="3" max="3" width="43.42578125" customWidth="1"/>
    <col min="4" max="4" width="24.140625" bestFit="1" customWidth="1"/>
    <col min="5" max="5" width="14.7109375" bestFit="1" customWidth="1"/>
    <col min="6" max="6" width="19.7109375" customWidth="1"/>
    <col min="7" max="7" width="18.140625" customWidth="1"/>
    <col min="8" max="8" width="18.85546875" customWidth="1"/>
    <col min="9" max="9" width="18.5703125" customWidth="1"/>
  </cols>
  <sheetData>
    <row r="1" spans="1:9" ht="45" x14ac:dyDescent="0.25">
      <c r="A1" s="36" t="s">
        <v>0</v>
      </c>
      <c r="B1" s="36"/>
      <c r="C1" s="1" t="s">
        <v>1</v>
      </c>
      <c r="D1" s="37" t="s">
        <v>2</v>
      </c>
      <c r="E1" s="37"/>
      <c r="F1" s="37"/>
      <c r="G1" s="37"/>
      <c r="H1" s="37"/>
      <c r="I1" s="2" t="s">
        <v>3</v>
      </c>
    </row>
    <row r="2" spans="1:9" x14ac:dyDescent="0.25">
      <c r="A2" s="3" t="s">
        <v>4</v>
      </c>
      <c r="B2" s="26" t="s">
        <v>37</v>
      </c>
      <c r="C2" s="38"/>
      <c r="D2" s="39" t="s">
        <v>5</v>
      </c>
      <c r="E2" s="39" t="s">
        <v>6</v>
      </c>
      <c r="F2" s="40" t="s">
        <v>7</v>
      </c>
      <c r="G2" s="40" t="s">
        <v>8</v>
      </c>
      <c r="H2" s="40" t="s">
        <v>9</v>
      </c>
      <c r="I2" s="41" t="s">
        <v>45</v>
      </c>
    </row>
    <row r="3" spans="1:9" x14ac:dyDescent="0.25">
      <c r="A3" s="3" t="s">
        <v>10</v>
      </c>
      <c r="B3" s="23" t="s">
        <v>19</v>
      </c>
      <c r="C3" s="38"/>
      <c r="D3" s="39"/>
      <c r="E3" s="39"/>
      <c r="F3" s="40"/>
      <c r="G3" s="40"/>
      <c r="H3" s="40"/>
      <c r="I3" s="41"/>
    </row>
    <row r="4" spans="1:9" x14ac:dyDescent="0.25">
      <c r="A4" s="3" t="s">
        <v>11</v>
      </c>
      <c r="B4" s="23" t="s">
        <v>64</v>
      </c>
      <c r="C4" s="38"/>
      <c r="D4" s="4"/>
      <c r="E4" s="5"/>
      <c r="F4" s="6"/>
      <c r="G4" s="7"/>
      <c r="H4" s="8"/>
      <c r="I4" s="41"/>
    </row>
    <row r="5" spans="1:9" ht="30" x14ac:dyDescent="0.25">
      <c r="A5" s="3" t="s">
        <v>12</v>
      </c>
      <c r="B5" s="22" t="s">
        <v>65</v>
      </c>
      <c r="C5" s="38"/>
      <c r="D5" s="4" t="s">
        <v>39</v>
      </c>
      <c r="E5" s="31">
        <f>C24</f>
        <v>156666.66666666666</v>
      </c>
      <c r="F5" s="6" t="s">
        <v>69</v>
      </c>
      <c r="G5" s="20"/>
      <c r="H5" s="14" t="s">
        <v>38</v>
      </c>
      <c r="I5" s="41"/>
    </row>
    <row r="6" spans="1:9" x14ac:dyDescent="0.25">
      <c r="A6" s="3" t="s">
        <v>13</v>
      </c>
      <c r="B6" s="23" t="s">
        <v>40</v>
      </c>
      <c r="C6" s="38"/>
      <c r="D6" s="8"/>
      <c r="F6" s="10"/>
      <c r="G6" s="8"/>
      <c r="H6" s="8"/>
      <c r="I6" s="41"/>
    </row>
    <row r="7" spans="1:9" x14ac:dyDescent="0.25">
      <c r="A7" s="3" t="s">
        <v>18</v>
      </c>
      <c r="B7" s="4" t="s">
        <v>19</v>
      </c>
      <c r="C7" s="38"/>
      <c r="D7" s="39" t="s">
        <v>14</v>
      </c>
      <c r="E7" s="42" t="s">
        <v>6</v>
      </c>
      <c r="F7" s="40" t="s">
        <v>15</v>
      </c>
      <c r="G7" s="40" t="s">
        <v>16</v>
      </c>
      <c r="H7" s="40" t="s">
        <v>17</v>
      </c>
      <c r="I7" s="41"/>
    </row>
    <row r="8" spans="1:9" x14ac:dyDescent="0.25">
      <c r="A8" s="3" t="s">
        <v>20</v>
      </c>
      <c r="B8" s="4" t="s">
        <v>19</v>
      </c>
      <c r="C8" s="38"/>
      <c r="D8" s="39"/>
      <c r="E8" s="42"/>
      <c r="F8" s="40"/>
      <c r="G8" s="40"/>
      <c r="H8" s="40"/>
      <c r="I8" s="41"/>
    </row>
    <row r="9" spans="1:9" x14ac:dyDescent="0.25">
      <c r="A9" s="3" t="s">
        <v>41</v>
      </c>
      <c r="B9" s="4" t="s">
        <v>19</v>
      </c>
      <c r="C9" s="38"/>
      <c r="D9" s="8"/>
      <c r="E9" s="9"/>
      <c r="F9" s="11"/>
      <c r="G9" s="7"/>
      <c r="H9" s="8"/>
      <c r="I9" s="41"/>
    </row>
    <row r="10" spans="1:9" x14ac:dyDescent="0.25">
      <c r="A10" s="21" t="s">
        <v>42</v>
      </c>
      <c r="B10" s="22">
        <v>4</v>
      </c>
      <c r="C10" s="38"/>
      <c r="D10" s="8" t="s">
        <v>61</v>
      </c>
      <c r="E10" s="32">
        <f>D11*100000</f>
        <v>200000</v>
      </c>
      <c r="F10" s="11"/>
      <c r="G10" s="20"/>
      <c r="H10" s="14" t="s">
        <v>38</v>
      </c>
      <c r="I10" s="41"/>
    </row>
    <row r="11" spans="1:9" x14ac:dyDescent="0.25">
      <c r="A11" s="21" t="s">
        <v>43</v>
      </c>
      <c r="B11" s="23" t="s">
        <v>66</v>
      </c>
      <c r="C11" s="38"/>
      <c r="D11" s="27">
        <v>2</v>
      </c>
      <c r="E11" s="9"/>
      <c r="F11" s="11"/>
      <c r="G11" s="8"/>
      <c r="H11" s="8"/>
      <c r="I11" s="41"/>
    </row>
    <row r="12" spans="1:9" x14ac:dyDescent="0.25">
      <c r="A12" s="21" t="s">
        <v>44</v>
      </c>
      <c r="B12" s="24">
        <v>16901055284500</v>
      </c>
      <c r="C12" s="38"/>
      <c r="D12" s="8"/>
      <c r="E12" s="9"/>
      <c r="F12" s="11"/>
      <c r="G12" s="8"/>
      <c r="H12" s="8"/>
      <c r="I12" s="41"/>
    </row>
    <row r="13" spans="1:9" ht="44.25" customHeight="1" x14ac:dyDescent="0.25">
      <c r="A13" s="35" t="s">
        <v>27</v>
      </c>
      <c r="B13" s="23" t="s">
        <v>67</v>
      </c>
      <c r="C13" s="38"/>
      <c r="D13" s="39" t="s">
        <v>21</v>
      </c>
      <c r="E13" s="42" t="s">
        <v>6</v>
      </c>
      <c r="F13" s="40" t="s">
        <v>22</v>
      </c>
      <c r="G13" s="40" t="s">
        <v>23</v>
      </c>
      <c r="H13" s="40" t="s">
        <v>24</v>
      </c>
      <c r="I13" s="41"/>
    </row>
    <row r="14" spans="1:9" x14ac:dyDescent="0.25">
      <c r="A14" s="12" t="s">
        <v>28</v>
      </c>
      <c r="B14" s="23" t="s">
        <v>68</v>
      </c>
      <c r="C14" s="13" t="s">
        <v>26</v>
      </c>
      <c r="D14" s="39"/>
      <c r="E14" s="42"/>
      <c r="F14" s="40"/>
      <c r="G14" s="40"/>
      <c r="H14" s="40"/>
      <c r="I14" s="41"/>
    </row>
    <row r="15" spans="1:9" x14ac:dyDescent="0.25">
      <c r="A15" s="12" t="s">
        <v>30</v>
      </c>
      <c r="B15" s="23">
        <v>83174438822</v>
      </c>
      <c r="C15" s="27">
        <v>188</v>
      </c>
      <c r="D15" s="8"/>
      <c r="E15" s="9"/>
      <c r="F15" s="11"/>
      <c r="G15" s="8"/>
      <c r="H15" s="8"/>
      <c r="I15" s="41"/>
    </row>
    <row r="16" spans="1:9" x14ac:dyDescent="0.25">
      <c r="A16" s="12"/>
      <c r="B16" s="4"/>
      <c r="C16" s="13" t="s">
        <v>29</v>
      </c>
      <c r="D16" s="8"/>
      <c r="E16" s="9"/>
      <c r="F16" s="11"/>
      <c r="G16" s="8"/>
      <c r="H16" s="8"/>
      <c r="I16" s="41"/>
    </row>
    <row r="17" spans="1:9" x14ac:dyDescent="0.25">
      <c r="A17" s="12"/>
      <c r="B17" s="4"/>
      <c r="C17" s="15">
        <v>45932</v>
      </c>
      <c r="D17" s="33" t="s">
        <v>31</v>
      </c>
      <c r="E17" s="32">
        <f>SUM(E3:E4,E8:E16,E5:E6)</f>
        <v>356666.66666666663</v>
      </c>
      <c r="F17" s="10"/>
      <c r="G17" s="8"/>
      <c r="H17" s="8"/>
      <c r="I17" s="41"/>
    </row>
    <row r="19" spans="1:9" x14ac:dyDescent="0.25">
      <c r="B19" s="28" t="s">
        <v>46</v>
      </c>
      <c r="C19" s="29">
        <f>C15</f>
        <v>188</v>
      </c>
    </row>
    <row r="20" spans="1:9" x14ac:dyDescent="0.25">
      <c r="B20" s="28" t="s">
        <v>47</v>
      </c>
      <c r="C20" s="29">
        <v>30</v>
      </c>
    </row>
    <row r="21" spans="1:9" x14ac:dyDescent="0.25">
      <c r="B21" s="28" t="s">
        <v>62</v>
      </c>
      <c r="C21" s="30">
        <f>C19/C20</f>
        <v>6.2666666666666666</v>
      </c>
    </row>
    <row r="22" spans="1:9" x14ac:dyDescent="0.25">
      <c r="B22" s="28" t="s">
        <v>48</v>
      </c>
      <c r="C22" s="29">
        <v>12500</v>
      </c>
    </row>
    <row r="23" spans="1:9" x14ac:dyDescent="0.25">
      <c r="B23" s="28" t="s">
        <v>49</v>
      </c>
      <c r="C23" s="29">
        <f>C22*C21</f>
        <v>78333.333333333328</v>
      </c>
    </row>
    <row r="24" spans="1:9" x14ac:dyDescent="0.25">
      <c r="B24" s="28" t="s">
        <v>50</v>
      </c>
      <c r="C24" s="29">
        <f>C23*2</f>
        <v>156666.66666666666</v>
      </c>
    </row>
    <row r="25" spans="1:9" x14ac:dyDescent="0.25">
      <c r="C25" s="25"/>
    </row>
    <row r="26" spans="1:9" hidden="1" x14ac:dyDescent="0.25">
      <c r="B26" s="16" t="s">
        <v>32</v>
      </c>
      <c r="F26" s="16"/>
      <c r="G26" s="16"/>
    </row>
    <row r="27" spans="1:9" hidden="1" x14ac:dyDescent="0.25"/>
    <row r="28" spans="1:9" hidden="1" x14ac:dyDescent="0.25"/>
    <row r="29" spans="1:9" hidden="1" x14ac:dyDescent="0.25"/>
    <row r="30" spans="1:9" hidden="1" x14ac:dyDescent="0.25">
      <c r="F30" s="17"/>
      <c r="G30" s="17"/>
    </row>
    <row r="31" spans="1:9" hidden="1" x14ac:dyDescent="0.25">
      <c r="B31" s="16" t="s">
        <v>25</v>
      </c>
    </row>
    <row r="32" spans="1:9" hidden="1" x14ac:dyDescent="0.25">
      <c r="B32" s="18" t="s">
        <v>33</v>
      </c>
      <c r="C32" s="19"/>
      <c r="D32" s="18" t="s">
        <v>34</v>
      </c>
      <c r="E32" s="19"/>
      <c r="F32" s="18" t="s">
        <v>35</v>
      </c>
      <c r="G32" s="19"/>
      <c r="H32" s="18" t="s">
        <v>36</v>
      </c>
    </row>
    <row r="34" spans="1:2" x14ac:dyDescent="0.25">
      <c r="A34" s="34" t="s">
        <v>51</v>
      </c>
      <c r="B34" t="s">
        <v>63</v>
      </c>
    </row>
    <row r="35" spans="1:2" x14ac:dyDescent="0.25">
      <c r="A35">
        <v>1</v>
      </c>
      <c r="B35" t="s">
        <v>53</v>
      </c>
    </row>
    <row r="36" spans="1:2" x14ac:dyDescent="0.25">
      <c r="A36">
        <v>2</v>
      </c>
      <c r="B36" t="s">
        <v>54</v>
      </c>
    </row>
    <row r="37" spans="1:2" x14ac:dyDescent="0.25">
      <c r="A37">
        <v>3</v>
      </c>
      <c r="B37" t="s">
        <v>55</v>
      </c>
    </row>
    <row r="38" spans="1:2" x14ac:dyDescent="0.25">
      <c r="A38">
        <v>4</v>
      </c>
      <c r="B38" t="s">
        <v>52</v>
      </c>
    </row>
    <row r="39" spans="1:2" x14ac:dyDescent="0.25">
      <c r="A39">
        <v>5</v>
      </c>
      <c r="B39" t="s">
        <v>59</v>
      </c>
    </row>
    <row r="40" spans="1:2" x14ac:dyDescent="0.25">
      <c r="A40">
        <v>6</v>
      </c>
      <c r="B40" t="s">
        <v>56</v>
      </c>
    </row>
    <row r="41" spans="1:2" x14ac:dyDescent="0.25">
      <c r="A41">
        <v>7</v>
      </c>
      <c r="B41" t="s">
        <v>57</v>
      </c>
    </row>
    <row r="42" spans="1:2" x14ac:dyDescent="0.25">
      <c r="A42">
        <v>8</v>
      </c>
      <c r="B42" t="s">
        <v>58</v>
      </c>
    </row>
    <row r="43" spans="1:2" x14ac:dyDescent="0.25">
      <c r="B43" t="s">
        <v>60</v>
      </c>
    </row>
  </sheetData>
  <mergeCells count="19">
    <mergeCell ref="I2:I17"/>
    <mergeCell ref="D7:D8"/>
    <mergeCell ref="E7:E8"/>
    <mergeCell ref="F7:F8"/>
    <mergeCell ref="G7:G8"/>
    <mergeCell ref="H7:H8"/>
    <mergeCell ref="D13:D14"/>
    <mergeCell ref="E13:E14"/>
    <mergeCell ref="F13:F14"/>
    <mergeCell ref="G13:G14"/>
    <mergeCell ref="A1:B1"/>
    <mergeCell ref="D1:H1"/>
    <mergeCell ref="C2:C13"/>
    <mergeCell ref="D2:D3"/>
    <mergeCell ref="E2:E3"/>
    <mergeCell ref="F2:F3"/>
    <mergeCell ref="G2:G3"/>
    <mergeCell ref="H2:H3"/>
    <mergeCell ref="H13:H14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Jamil Febrian</cp:lastModifiedBy>
  <cp:lastPrinted>2025-07-01T14:08:38Z</cp:lastPrinted>
  <dcterms:created xsi:type="dcterms:W3CDTF">2025-07-01T04:45:14Z</dcterms:created>
  <dcterms:modified xsi:type="dcterms:W3CDTF">2025-10-19T08:21:09Z</dcterms:modified>
</cp:coreProperties>
</file>