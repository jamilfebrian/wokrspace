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Jamil\Work\Sky Tech\"/>
    </mc:Choice>
  </mc:AlternateContent>
  <xr:revisionPtr revIDLastSave="0" documentId="13_ncr:1_{E5298FF3-7980-4B7E-877A-900A94291D1A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heet1" sheetId="1" state="hidden" r:id="rId1"/>
    <sheet name="Timeline" sheetId="2" r:id="rId2"/>
    <sheet name="List Barang" sheetId="3" r:id="rId3"/>
    <sheet name="List tim" sheetId="4" r:id="rId4"/>
    <sheet name="List Mobil" sheetId="5" r:id="rId5"/>
  </sheets>
  <definedNames>
    <definedName name="_xlnm._FilterDatabase" localSheetId="2" hidden="1">'List Barang'!$A$3:$J$61</definedName>
  </definedNames>
  <calcPr calcId="191029"/>
</workbook>
</file>

<file path=xl/calcChain.xml><?xml version="1.0" encoding="utf-8"?>
<calcChain xmlns="http://schemas.openxmlformats.org/spreadsheetml/2006/main">
  <c r="J13" i="3" l="1"/>
  <c r="C8" i="3"/>
  <c r="I9" i="3"/>
  <c r="J9" i="3" s="1"/>
  <c r="W19" i="4"/>
  <c r="I19" i="4"/>
  <c r="W18" i="4"/>
  <c r="I18" i="4"/>
  <c r="W17" i="4"/>
  <c r="U17" i="4"/>
  <c r="I61" i="3"/>
  <c r="J61" i="3" s="1"/>
  <c r="I60" i="3"/>
  <c r="J60" i="3" s="1"/>
  <c r="I59" i="3"/>
  <c r="J59" i="3" s="1"/>
  <c r="I58" i="3"/>
  <c r="J58" i="3" s="1"/>
  <c r="I57" i="3"/>
  <c r="I56" i="3"/>
  <c r="J56" i="3" s="1"/>
  <c r="I55" i="3"/>
  <c r="J55" i="3" s="1"/>
  <c r="I54" i="3"/>
  <c r="J54" i="3" s="1"/>
  <c r="I53" i="3"/>
  <c r="J53" i="3" s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H24" i="3"/>
  <c r="I24" i="3" s="1"/>
  <c r="J24" i="3" s="1"/>
  <c r="H23" i="3"/>
  <c r="I23" i="3" s="1"/>
  <c r="J23" i="3" s="1"/>
  <c r="I22" i="3"/>
  <c r="J22" i="3" s="1"/>
  <c r="I21" i="3"/>
  <c r="J21" i="3" s="1"/>
  <c r="I20" i="3"/>
  <c r="J20" i="3" s="1"/>
  <c r="I19" i="3"/>
  <c r="J19" i="3" s="1"/>
  <c r="I18" i="3"/>
  <c r="I17" i="3"/>
  <c r="I16" i="3"/>
  <c r="J16" i="3" s="1"/>
  <c r="I15" i="3"/>
  <c r="I14" i="3"/>
  <c r="I13" i="3"/>
  <c r="I12" i="3"/>
  <c r="C12" i="3"/>
  <c r="I11" i="3"/>
  <c r="J11" i="3" s="1"/>
  <c r="I10" i="3"/>
  <c r="J10" i="3" s="1"/>
  <c r="I8" i="3"/>
  <c r="J7" i="3"/>
  <c r="I6" i="3"/>
  <c r="J6" i="3" s="1"/>
  <c r="I5" i="3"/>
  <c r="J5" i="3" s="1"/>
  <c r="J12" i="3" l="1"/>
  <c r="J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Rendy The</author>
  </authors>
  <commentList>
    <comment ref="L4" authorId="0" shapeId="0" xr:uid="{00000000-0006-0000-0100-000001000000}">
      <text>
        <r>
          <rPr>
            <sz val="9"/>
            <rFont val="Tahoma"/>
            <charset val="134"/>
          </rPr>
          <t>6 drones + spreaders + batteries</t>
        </r>
      </text>
    </comment>
    <comment ref="AB4" authorId="1" shapeId="0" xr:uid="{00000000-0006-0000-0100-000002000000}">
      <text>
        <r>
          <rPr>
            <sz val="9"/>
            <rFont val="Tahoma"/>
            <charset val="1"/>
          </rPr>
          <t xml:space="preserve">Add equipments for ops
</t>
        </r>
      </text>
    </comment>
    <comment ref="AT4" authorId="1" shapeId="0" xr:uid="{00000000-0006-0000-0100-000003000000}">
      <text>
        <r>
          <rPr>
            <sz val="9"/>
            <rFont val="Tahoma"/>
            <charset val="1"/>
          </rPr>
          <t xml:space="preserve">Add 4 drones
</t>
        </r>
      </text>
    </comment>
    <comment ref="T5" authorId="0" shapeId="0" xr:uid="{00000000-0006-0000-0100-000004000000}">
      <text>
        <r>
          <rPr>
            <sz val="9"/>
            <rFont val="Tahoma"/>
            <charset val="134"/>
          </rPr>
          <t>Rent 1 ops car + 1 avanza</t>
        </r>
      </text>
    </comment>
    <comment ref="AB5" authorId="1" shapeId="0" xr:uid="{00000000-0006-0000-0100-000005000000}">
      <text>
        <r>
          <rPr>
            <sz val="9"/>
            <rFont val="Tahoma"/>
            <charset val="1"/>
          </rPr>
          <t xml:space="preserve">Add equipment for ops
</t>
        </r>
      </text>
    </comment>
    <comment ref="T6" authorId="0" shapeId="0" xr:uid="{00000000-0006-0000-0100-000006000000}">
      <text>
        <r>
          <rPr>
            <sz val="9"/>
            <rFont val="Tahoma"/>
            <charset val="134"/>
          </rPr>
          <t>5 orang 2tim 
(untuk uji coba)</t>
        </r>
      </text>
    </comment>
  </commentList>
</comments>
</file>

<file path=xl/sharedStrings.xml><?xml version="1.0" encoding="utf-8"?>
<sst xmlns="http://schemas.openxmlformats.org/spreadsheetml/2006/main" count="205" uniqueCount="149">
  <si>
    <t xml:space="preserve">1 drone 3 orang </t>
  </si>
  <si>
    <t xml:space="preserve">5 drone 2 orang </t>
  </si>
  <si>
    <t xml:space="preserve">orang </t>
  </si>
  <si>
    <t xml:space="preserve">pengiriman </t>
  </si>
  <si>
    <t xml:space="preserve">mobil </t>
  </si>
  <si>
    <t xml:space="preserve">8 drone </t>
  </si>
  <si>
    <t>1 tim 2 drone (5 orang 1 mobil)</t>
  </si>
  <si>
    <t xml:space="preserve">Tasks </t>
  </si>
  <si>
    <t>Feb</t>
  </si>
  <si>
    <t xml:space="preserve">Maret </t>
  </si>
  <si>
    <t>April</t>
  </si>
  <si>
    <t>dst</t>
  </si>
  <si>
    <t>Drone and Sparepart Preparation</t>
  </si>
  <si>
    <t>Cargo Shipments (Logistic)</t>
  </si>
  <si>
    <t>Team Fly in &amp; Car Rental</t>
  </si>
  <si>
    <t>Team Enter Site/Survey</t>
  </si>
  <si>
    <t>Testing/Calibration (Initial Team)</t>
  </si>
  <si>
    <t>Drone Ops (Initial Team)</t>
  </si>
  <si>
    <t>Additional Team Ops</t>
  </si>
  <si>
    <t>Off from Field (Temporary for Eid)</t>
  </si>
  <si>
    <t>Kickstart Field Operations</t>
  </si>
  <si>
    <t>LIST DRONE DAN SPAREPART</t>
  </si>
  <si>
    <t>No</t>
  </si>
  <si>
    <t>Item</t>
  </si>
  <si>
    <t>Stok Target</t>
  </si>
  <si>
    <t>Note</t>
  </si>
  <si>
    <t>Kirim 1</t>
  </si>
  <si>
    <t>Jumlah</t>
  </si>
  <si>
    <t>Kirim 2</t>
  </si>
  <si>
    <t>Stok Aktual</t>
  </si>
  <si>
    <t>Main Parts</t>
  </si>
  <si>
    <t>Drone HD540 Pro</t>
  </si>
  <si>
    <t>Drone HD540 S</t>
  </si>
  <si>
    <t>26/03/2025</t>
  </si>
  <si>
    <t>Remote Control</t>
  </si>
  <si>
    <t>Genset 10.000watt</t>
  </si>
  <si>
    <t>TATTU 30.000mAh 18S Battery</t>
  </si>
  <si>
    <t>Swan Drone Smart Battery 68.4V/30000mAh 2.1kwh</t>
  </si>
  <si>
    <t>Charger</t>
  </si>
  <si>
    <t>Motor 2KW//65KV-2700 r/min CW</t>
  </si>
  <si>
    <t>Motor 2KW//65KV-2700 r/min CCW</t>
  </si>
  <si>
    <t>Skydroid Antenna</t>
  </si>
  <si>
    <t>Propeller 40 132 CCW</t>
  </si>
  <si>
    <t>Carbon Fiber Sheet</t>
  </si>
  <si>
    <t>Propeller 40 132 CW</t>
  </si>
  <si>
    <t>Radar Set (Agricultural Distance Recorder)</t>
  </si>
  <si>
    <t>Iron Pillar Frame Set</t>
  </si>
  <si>
    <t>Pro Type</t>
  </si>
  <si>
    <t>Super Type</t>
  </si>
  <si>
    <t>Carbon Fiber Tube Set</t>
  </si>
  <si>
    <t>Tanki</t>
  </si>
  <si>
    <t>Iron Pillar Frame (Distribution &amp; Control Board)</t>
  </si>
  <si>
    <t>Corong Uk.20cm</t>
  </si>
  <si>
    <t>Obeng Plus Minus</t>
  </si>
  <si>
    <t>Obeng Minus</t>
  </si>
  <si>
    <t>Kunci T</t>
  </si>
  <si>
    <t>Timah Solder</t>
  </si>
  <si>
    <t>Kunci Inggris</t>
  </si>
  <si>
    <t>Obeng Bunga</t>
  </si>
  <si>
    <t>Kunci Ring Pas 10</t>
  </si>
  <si>
    <t>Lotfett</t>
  </si>
  <si>
    <t>Solder</t>
  </si>
  <si>
    <t>Kunci Ring Pas 8</t>
  </si>
  <si>
    <t>Kunci L Set</t>
  </si>
  <si>
    <t>Tang Set</t>
  </si>
  <si>
    <t>Dudukan Solder</t>
  </si>
  <si>
    <t>Container Box Kecil Uk. (P x L x T) : 45 x 30 x 26.5 cm</t>
  </si>
  <si>
    <t>Container Box Besar Uk. (P x L x T) : 70 cm x 48 cm x 42.5 cm</t>
  </si>
  <si>
    <t>Container Box Sedang Uk. (P x L x T) : 55 x 38 x 34.5 cm</t>
  </si>
  <si>
    <t>Kunci Busi Genset</t>
  </si>
  <si>
    <t>APAR</t>
  </si>
  <si>
    <t>Kunci Y 10-12-14 Inch</t>
  </si>
  <si>
    <t>Kunci Y 8-10-12 Inch</t>
  </si>
  <si>
    <t>BAOFENG BF-888S Set 2 Unit (2W) Walkie Talkie</t>
  </si>
  <si>
    <t>Kanebo</t>
  </si>
  <si>
    <t>APD-Kacamata Safety</t>
  </si>
  <si>
    <t>APD-Rompi Safety</t>
  </si>
  <si>
    <t>Terpal Biru 4 x 6 Meter</t>
  </si>
  <si>
    <t>Terpal Biru 3 x 4 Meter</t>
  </si>
  <si>
    <t>Tali Seling</t>
  </si>
  <si>
    <t>Toolbox</t>
  </si>
  <si>
    <t>APD-Helm Safety</t>
  </si>
  <si>
    <t>APD-Sarung Tangan Safety Kain</t>
  </si>
  <si>
    <t>Anemometer</t>
  </si>
  <si>
    <t>Glue Gun 100-240V 40W</t>
  </si>
  <si>
    <t>Multimeter</t>
  </si>
  <si>
    <t>Blower (battery) (untuk membersihkan tanki/debu)</t>
  </si>
  <si>
    <t>Kuas 5 inch</t>
  </si>
  <si>
    <t>Drone 1 &amp; Drone 2</t>
  </si>
  <si>
    <t>Keterangan</t>
  </si>
  <si>
    <t>Diganti</t>
  </si>
  <si>
    <t>Tim saat ini</t>
  </si>
  <si>
    <t>Fino Anperta</t>
  </si>
  <si>
    <t xml:space="preserve">PKWTT </t>
  </si>
  <si>
    <t>Man Power</t>
  </si>
  <si>
    <t>Drone 3 &amp; Drone 4</t>
  </si>
  <si>
    <t>Drone</t>
  </si>
  <si>
    <t>Mobil</t>
  </si>
  <si>
    <t>BPME</t>
  </si>
  <si>
    <t>Genset</t>
  </si>
  <si>
    <t xml:space="preserve">Blower </t>
  </si>
  <si>
    <t xml:space="preserve">Tambahan </t>
  </si>
  <si>
    <t>Drone 5 &amp; Drone 6</t>
  </si>
  <si>
    <t xml:space="preserve">Drone </t>
  </si>
  <si>
    <t xml:space="preserve">2 BPME, 4 BPLE </t>
  </si>
  <si>
    <t xml:space="preserve">Genset </t>
  </si>
  <si>
    <t xml:space="preserve">Mobil </t>
  </si>
  <si>
    <t xml:space="preserve">Perbandingan Sewa x beli genset </t>
  </si>
  <si>
    <t>@bulan</t>
  </si>
  <si>
    <t>@12 bulan</t>
  </si>
  <si>
    <t>Ongkir</t>
  </si>
  <si>
    <t>Total/Tahun</t>
  </si>
  <si>
    <t>Drone 7 &amp; Drone 8</t>
  </si>
  <si>
    <t>Capacity 30 Kva, 380/220 V, 3 Phase, 50 Hz, 1.500 Rpm, Pf 0,8</t>
  </si>
  <si>
    <t>MDG 38 RD ( 30 kw) - beli</t>
  </si>
  <si>
    <t xml:space="preserve">MDG 30 RD ( 24 kw) - beli </t>
  </si>
  <si>
    <t>Ketersediaan Pilot yang bisa 4orang (dari spraying)</t>
  </si>
  <si>
    <t xml:space="preserve">Pilot </t>
  </si>
  <si>
    <t>Training</t>
  </si>
  <si>
    <t>BPLE</t>
  </si>
  <si>
    <t>8orang</t>
  </si>
  <si>
    <t>SAM 2</t>
  </si>
  <si>
    <t>selesai minggu ini</t>
  </si>
  <si>
    <t xml:space="preserve">8orang </t>
  </si>
  <si>
    <t>Malako</t>
  </si>
  <si>
    <t xml:space="preserve">Target 5 orang </t>
  </si>
  <si>
    <t>keperluan untuk di follow UP ke SMF :</t>
  </si>
  <si>
    <t>Ponton 2 untuk BPLE (untuk jalan 2 drone)</t>
  </si>
  <si>
    <t xml:space="preserve">Pompom untuk alat kerja </t>
  </si>
  <si>
    <t xml:space="preserve">Pastikan keperluan di lapangan </t>
  </si>
  <si>
    <t>Internal :</t>
  </si>
  <si>
    <t>Perlu 8 orang (4 drone)</t>
  </si>
  <si>
    <t xml:space="preserve">tanggal keberangatan ops 14 April </t>
  </si>
  <si>
    <t xml:space="preserve">tanggal 13 genset </t>
  </si>
  <si>
    <t xml:space="preserve">list barang yang sudah di site </t>
  </si>
  <si>
    <t xml:space="preserve">merk firman 10rb </t>
  </si>
  <si>
    <t>LIST KENDARAAN OPERASIONAL RIAU</t>
  </si>
  <si>
    <t>MOBIL</t>
  </si>
  <si>
    <t>NO</t>
  </si>
  <si>
    <t>PEMILIK LAMA</t>
  </si>
  <si>
    <t>PLAT MOBIL</t>
  </si>
  <si>
    <t>JENIS KENDARAAN</t>
  </si>
  <si>
    <t>LOKASI SEKARANG</t>
  </si>
  <si>
    <t>Warna</t>
  </si>
  <si>
    <t>Tanggal Masuk</t>
  </si>
  <si>
    <t>Eka Delta Rent</t>
  </si>
  <si>
    <t>Kurang Stock</t>
  </si>
  <si>
    <t>Tanki Spreader S</t>
  </si>
  <si>
    <t>Tanki Spreader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</si>
</sst>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rgb="FFF28A8A"/>
      <name val="Calibri"/>
      <charset val="134"/>
      <scheme val="minor"/>
    </font>
    <font>
      <sz val="9"/>
      <name val="Tahoma"/>
      <charset val="134"/>
    </font>
    <font>
      <sz val="9"/>
      <name val="Tahoma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8A8A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3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4" fontId="0" fillId="0" borderId="4" xfId="0" applyNumberForma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0" borderId="4" xfId="0" applyBorder="1"/>
    <xf numFmtId="0" fontId="0" fillId="0" borderId="4" xfId="0" applyBorder="1" applyAlignment="1">
      <alignment horizontal="center" vertical="center"/>
    </xf>
    <xf numFmtId="164" fontId="0" fillId="0" borderId="4" xfId="0" applyNumberFormat="1" applyBorder="1"/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1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49" fontId="6" fillId="0" borderId="4" xfId="0" applyNumberFormat="1" applyFont="1" applyBorder="1" applyAlignment="1">
      <alignment vertical="center" wrapText="1"/>
    </xf>
    <xf numFmtId="0" fontId="0" fillId="8" borderId="4" xfId="0" applyFill="1" applyBorder="1" applyAlignment="1">
      <alignment horizontal="center" vertical="center"/>
    </xf>
    <xf numFmtId="0" fontId="0" fillId="6" borderId="4" xfId="0" applyFill="1" applyBorder="1"/>
    <xf numFmtId="0" fontId="0" fillId="9" borderId="4" xfId="0" applyFill="1" applyBorder="1"/>
    <xf numFmtId="0" fontId="0" fillId="4" borderId="4" xfId="0" applyFill="1" applyBorder="1"/>
    <xf numFmtId="0" fontId="0" fillId="9" borderId="9" xfId="0" applyFill="1" applyBorder="1"/>
    <xf numFmtId="0" fontId="0" fillId="10" borderId="4" xfId="0" applyFill="1" applyBorder="1"/>
    <xf numFmtId="0" fontId="0" fillId="11" borderId="4" xfId="0" applyFill="1" applyBorder="1"/>
    <xf numFmtId="0" fontId="7" fillId="9" borderId="4" xfId="0" applyFont="1" applyFill="1" applyBorder="1"/>
    <xf numFmtId="0" fontId="3" fillId="0" borderId="0" xfId="0" quotePrefix="1" applyFont="1" applyAlignment="1">
      <alignment horizontal="center" vertical="center"/>
    </xf>
    <xf numFmtId="0" fontId="0" fillId="0" borderId="0" xfId="0" quotePrefix="1"/>
    <xf numFmtId="0" fontId="11" fillId="4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12" borderId="4" xfId="0" applyFont="1" applyFill="1" applyBorder="1" applyAlignment="1">
      <alignment vertical="center"/>
    </xf>
    <xf numFmtId="0" fontId="4" fillId="12" borderId="4" xfId="0" applyFont="1" applyFill="1" applyBorder="1" applyAlignment="1">
      <alignment horizontal="center" vertical="center"/>
    </xf>
    <xf numFmtId="14" fontId="4" fillId="12" borderId="4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left" vertical="center"/>
    </xf>
    <xf numFmtId="0" fontId="4" fillId="12" borderId="0" xfId="0" applyFont="1" applyFill="1" applyAlignment="1">
      <alignment vertical="center"/>
    </xf>
    <xf numFmtId="49" fontId="6" fillId="12" borderId="4" xfId="0" applyNumberFormat="1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4" fillId="13" borderId="4" xfId="0" applyFont="1" applyFill="1" applyBorder="1" applyAlignment="1">
      <alignment vertical="center"/>
    </xf>
    <xf numFmtId="0" fontId="4" fillId="13" borderId="4" xfId="0" applyFont="1" applyFill="1" applyBorder="1" applyAlignment="1">
      <alignment horizontal="center" vertical="center"/>
    </xf>
    <xf numFmtId="14" fontId="4" fillId="13" borderId="4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8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workbookViewId="0">
      <selection activeCell="C10" sqref="C10"/>
    </sheetView>
  </sheetViews>
  <sheetFormatPr defaultColWidth="9" defaultRowHeight="15"/>
  <cols>
    <col min="2" max="2" width="14.5703125" customWidth="1"/>
  </cols>
  <sheetData>
    <row r="2" spans="2:3">
      <c r="B2" t="s">
        <v>0</v>
      </c>
    </row>
    <row r="4" spans="2:3">
      <c r="B4" t="s">
        <v>1</v>
      </c>
    </row>
    <row r="5" spans="2:3">
      <c r="B5" t="s">
        <v>2</v>
      </c>
    </row>
    <row r="6" spans="2:3">
      <c r="B6" t="s">
        <v>3</v>
      </c>
    </row>
    <row r="7" spans="2:3">
      <c r="B7" t="s">
        <v>4</v>
      </c>
    </row>
    <row r="8" spans="2:3">
      <c r="B8" t="s">
        <v>5</v>
      </c>
      <c r="C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11"/>
  <sheetViews>
    <sheetView zoomScale="90" zoomScaleNormal="90" workbookViewId="0">
      <selection activeCell="AS19" sqref="AS19"/>
    </sheetView>
  </sheetViews>
  <sheetFormatPr defaultColWidth="9" defaultRowHeight="15"/>
  <cols>
    <col min="1" max="1" width="2.140625" customWidth="1"/>
    <col min="2" max="2" width="30" customWidth="1"/>
    <col min="3" max="5" width="3.5703125" customWidth="1"/>
    <col min="6" max="47" width="3.42578125" customWidth="1"/>
  </cols>
  <sheetData>
    <row r="1" spans="2:47">
      <c r="B1" s="55" t="s">
        <v>7</v>
      </c>
      <c r="C1" s="54" t="s">
        <v>8</v>
      </c>
      <c r="D1" s="54"/>
      <c r="E1" s="54"/>
      <c r="F1" s="54" t="s">
        <v>9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 t="s">
        <v>10</v>
      </c>
      <c r="AL1" s="54"/>
      <c r="AM1" s="54"/>
      <c r="AN1" s="54"/>
      <c r="AO1" s="54"/>
      <c r="AP1" s="54"/>
      <c r="AQ1" s="54"/>
      <c r="AR1" s="54"/>
      <c r="AS1" s="54"/>
      <c r="AT1" s="54"/>
      <c r="AU1" s="54"/>
    </row>
    <row r="2" spans="2:47">
      <c r="B2" s="55"/>
      <c r="C2" s="13">
        <v>26</v>
      </c>
      <c r="D2" s="13">
        <v>27</v>
      </c>
      <c r="E2" s="13">
        <v>28</v>
      </c>
      <c r="F2" s="27">
        <v>1</v>
      </c>
      <c r="G2" s="27">
        <v>2</v>
      </c>
      <c r="H2" s="13">
        <v>3</v>
      </c>
      <c r="I2" s="13">
        <v>4</v>
      </c>
      <c r="J2" s="13">
        <v>5</v>
      </c>
      <c r="K2" s="13">
        <v>6</v>
      </c>
      <c r="L2" s="13">
        <v>7</v>
      </c>
      <c r="M2" s="27">
        <v>8</v>
      </c>
      <c r="N2" s="27">
        <v>9</v>
      </c>
      <c r="O2" s="13">
        <v>10</v>
      </c>
      <c r="P2" s="13">
        <v>11</v>
      </c>
      <c r="Q2" s="13">
        <v>12</v>
      </c>
      <c r="R2" s="13">
        <v>13</v>
      </c>
      <c r="S2" s="13">
        <v>14</v>
      </c>
      <c r="T2" s="27">
        <v>15</v>
      </c>
      <c r="U2" s="27">
        <v>16</v>
      </c>
      <c r="V2" s="13">
        <v>17</v>
      </c>
      <c r="W2" s="13">
        <v>18</v>
      </c>
      <c r="X2" s="13">
        <v>19</v>
      </c>
      <c r="Y2" s="13">
        <v>20</v>
      </c>
      <c r="Z2" s="13">
        <v>21</v>
      </c>
      <c r="AA2" s="27">
        <v>22</v>
      </c>
      <c r="AB2" s="27">
        <v>23</v>
      </c>
      <c r="AC2" s="13">
        <v>24</v>
      </c>
      <c r="AD2" s="13">
        <v>25</v>
      </c>
      <c r="AE2" s="13">
        <v>26</v>
      </c>
      <c r="AF2" s="13">
        <v>27</v>
      </c>
      <c r="AG2" s="13">
        <v>28</v>
      </c>
      <c r="AH2" s="27">
        <v>29</v>
      </c>
      <c r="AI2" s="27">
        <v>30</v>
      </c>
      <c r="AJ2" s="27">
        <v>31</v>
      </c>
      <c r="AK2" s="27">
        <v>1</v>
      </c>
      <c r="AL2" s="27">
        <v>2</v>
      </c>
      <c r="AM2" s="27">
        <v>3</v>
      </c>
      <c r="AN2" s="27">
        <v>4</v>
      </c>
      <c r="AO2" s="27">
        <v>5</v>
      </c>
      <c r="AP2" s="13">
        <v>6</v>
      </c>
      <c r="AQ2" s="13">
        <v>7</v>
      </c>
      <c r="AR2" s="13">
        <v>8</v>
      </c>
      <c r="AS2" s="13">
        <v>9</v>
      </c>
      <c r="AT2" s="13">
        <v>10</v>
      </c>
      <c r="AU2" s="12" t="s">
        <v>11</v>
      </c>
    </row>
    <row r="3" spans="2:47">
      <c r="B3" s="28" t="s">
        <v>12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2:47">
      <c r="B4" s="28" t="s">
        <v>13</v>
      </c>
      <c r="C4" s="12"/>
      <c r="D4" s="12"/>
      <c r="E4" s="30"/>
      <c r="F4" s="30"/>
      <c r="G4" s="30"/>
      <c r="H4" s="12"/>
      <c r="I4" s="12"/>
      <c r="J4" s="12"/>
      <c r="L4" s="29"/>
      <c r="M4" s="29"/>
      <c r="N4" s="29"/>
      <c r="O4" s="29"/>
      <c r="P4" s="29"/>
      <c r="Q4" s="31"/>
      <c r="R4" s="29"/>
      <c r="S4" s="29"/>
      <c r="T4" s="12"/>
      <c r="U4" s="12"/>
      <c r="V4" s="12"/>
      <c r="W4" s="12"/>
      <c r="X4" s="12"/>
      <c r="Y4" s="12"/>
      <c r="Z4" s="12"/>
      <c r="AA4" s="12"/>
      <c r="AB4" s="33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33"/>
      <c r="AU4" s="12"/>
    </row>
    <row r="5" spans="2:47">
      <c r="B5" s="28" t="s">
        <v>14</v>
      </c>
      <c r="C5" s="12"/>
      <c r="D5" s="12"/>
      <c r="E5" s="12"/>
      <c r="F5" s="30"/>
      <c r="G5" s="3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32"/>
      <c r="U5" s="12"/>
      <c r="V5" s="12"/>
      <c r="W5" s="12"/>
      <c r="X5" s="12"/>
      <c r="Y5" s="12"/>
      <c r="Z5" s="12"/>
      <c r="AA5" s="12"/>
      <c r="AB5" s="33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33"/>
      <c r="AU5" s="12"/>
    </row>
    <row r="6" spans="2:47">
      <c r="B6" s="28" t="s">
        <v>15</v>
      </c>
      <c r="C6" s="12"/>
      <c r="D6" s="12"/>
      <c r="E6" s="12"/>
      <c r="F6" s="30"/>
      <c r="G6" s="30"/>
      <c r="H6" s="12"/>
      <c r="I6" s="12"/>
      <c r="J6" s="12"/>
      <c r="K6" s="12"/>
      <c r="L6" s="12"/>
      <c r="M6" s="12"/>
      <c r="N6" s="12"/>
      <c r="O6" s="12"/>
      <c r="P6" s="12"/>
      <c r="R6" s="12"/>
      <c r="S6" s="12"/>
      <c r="T6" s="32"/>
      <c r="U6" s="32"/>
      <c r="V6" s="12"/>
      <c r="W6" s="12"/>
      <c r="X6" s="12"/>
      <c r="Y6" s="12"/>
      <c r="Z6" s="12"/>
      <c r="AA6" s="12"/>
      <c r="AB6" s="3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spans="2:47">
      <c r="B7" s="28" t="s">
        <v>16</v>
      </c>
      <c r="C7" s="12"/>
      <c r="D7" s="12"/>
      <c r="E7" s="12"/>
      <c r="F7" s="30"/>
      <c r="G7" s="3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32"/>
      <c r="W7" s="32"/>
      <c r="X7" s="32"/>
      <c r="Y7" s="30"/>
      <c r="Z7" s="30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</row>
    <row r="8" spans="2:47">
      <c r="B8" s="28" t="s">
        <v>17</v>
      </c>
      <c r="C8" s="12"/>
      <c r="D8" s="12"/>
      <c r="E8" s="12"/>
      <c r="F8" s="30"/>
      <c r="G8" s="3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</row>
    <row r="9" spans="2:47">
      <c r="B9" s="28" t="s">
        <v>18</v>
      </c>
      <c r="C9" s="12"/>
      <c r="D9" s="12"/>
      <c r="E9" s="12"/>
      <c r="F9" s="30"/>
      <c r="G9" s="3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33"/>
      <c r="AD9" s="33"/>
      <c r="AE9" s="33"/>
      <c r="AF9" s="33"/>
      <c r="AG9" s="33"/>
      <c r="AH9" s="33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</row>
    <row r="10" spans="2:47">
      <c r="B10" s="28" t="s">
        <v>19</v>
      </c>
      <c r="C10" s="12"/>
      <c r="D10" s="12"/>
      <c r="E10" s="12"/>
      <c r="F10" s="30"/>
      <c r="G10" s="3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34"/>
      <c r="AJ10" s="34"/>
      <c r="AK10" s="34"/>
      <c r="AL10" s="34"/>
      <c r="AM10" s="34"/>
      <c r="AN10" s="34"/>
      <c r="AO10" s="34"/>
      <c r="AP10" s="12"/>
      <c r="AQ10" s="12"/>
      <c r="AR10" s="12"/>
      <c r="AS10" s="12"/>
      <c r="AT10" s="12"/>
      <c r="AU10" s="12"/>
    </row>
    <row r="11" spans="2:47">
      <c r="B11" s="28" t="s">
        <v>20</v>
      </c>
      <c r="C11" s="12"/>
      <c r="D11" s="12"/>
      <c r="E11" s="12"/>
      <c r="F11" s="30"/>
      <c r="G11" s="3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33"/>
      <c r="AQ11" s="33"/>
      <c r="AR11" s="33"/>
      <c r="AS11" s="33"/>
      <c r="AT11" s="33"/>
      <c r="AU11" s="33"/>
    </row>
  </sheetData>
  <mergeCells count="4">
    <mergeCell ref="C1:E1"/>
    <mergeCell ref="F1:AJ1"/>
    <mergeCell ref="AK1:AU1"/>
    <mergeCell ref="B1:B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tabSelected="1" zoomScale="90" zoomScaleNormal="90" workbookViewId="0">
      <selection activeCell="I7" sqref="I7"/>
    </sheetView>
  </sheetViews>
  <sheetFormatPr defaultColWidth="8.85546875" defaultRowHeight="15.75"/>
  <cols>
    <col min="1" max="1" width="6.5703125" style="16" customWidth="1"/>
    <col min="2" max="2" width="61.28515625" style="16" bestFit="1" customWidth="1"/>
    <col min="3" max="3" width="17.7109375" style="17" bestFit="1" customWidth="1"/>
    <col min="4" max="4" width="18.5703125" style="17" bestFit="1" customWidth="1"/>
    <col min="5" max="5" width="13.5703125" style="17" customWidth="1"/>
    <col min="6" max="6" width="13.42578125" style="17" bestFit="1" customWidth="1"/>
    <col min="7" max="7" width="13.5703125" style="17" customWidth="1"/>
    <col min="8" max="8" width="13.42578125" style="17" bestFit="1" customWidth="1"/>
    <col min="9" max="9" width="18.28515625" style="17" bestFit="1" customWidth="1"/>
    <col min="10" max="10" width="19.85546875" style="17" bestFit="1" customWidth="1"/>
    <col min="11" max="16384" width="8.85546875" style="16"/>
  </cols>
  <sheetData>
    <row r="1" spans="1:10">
      <c r="A1" s="39" t="s">
        <v>21</v>
      </c>
      <c r="B1" s="40"/>
      <c r="C1" s="40"/>
      <c r="D1" s="40"/>
      <c r="E1" s="40"/>
      <c r="F1" s="40"/>
      <c r="G1" s="40"/>
      <c r="H1" s="40"/>
      <c r="I1" s="40"/>
    </row>
    <row r="2" spans="1:10">
      <c r="A2" s="41"/>
      <c r="B2" s="42"/>
      <c r="C2" s="42"/>
      <c r="D2" s="42"/>
      <c r="E2" s="42"/>
      <c r="F2" s="42"/>
      <c r="G2" s="42"/>
      <c r="H2" s="42"/>
      <c r="I2" s="42"/>
    </row>
    <row r="3" spans="1:10">
      <c r="A3" s="18" t="s">
        <v>22</v>
      </c>
      <c r="B3" s="18" t="s">
        <v>23</v>
      </c>
      <c r="C3" s="18" t="s">
        <v>24</v>
      </c>
      <c r="D3" s="18" t="s">
        <v>25</v>
      </c>
      <c r="E3" s="18" t="s">
        <v>26</v>
      </c>
      <c r="F3" s="18" t="s">
        <v>27</v>
      </c>
      <c r="G3" s="18" t="s">
        <v>28</v>
      </c>
      <c r="H3" s="18" t="s">
        <v>27</v>
      </c>
      <c r="I3" s="18" t="s">
        <v>29</v>
      </c>
      <c r="J3" s="49" t="s">
        <v>146</v>
      </c>
    </row>
    <row r="4" spans="1:10">
      <c r="A4" s="38" t="s">
        <v>30</v>
      </c>
      <c r="B4" s="38"/>
      <c r="C4" s="38"/>
      <c r="D4" s="38"/>
      <c r="E4" s="38"/>
      <c r="F4" s="38"/>
      <c r="G4" s="38"/>
      <c r="H4" s="38"/>
      <c r="I4" s="38"/>
      <c r="J4" s="20"/>
    </row>
    <row r="5" spans="1:10">
      <c r="A5" s="19"/>
      <c r="B5" s="19" t="s">
        <v>31</v>
      </c>
      <c r="C5" s="20">
        <v>1</v>
      </c>
      <c r="D5" s="20"/>
      <c r="E5" s="21">
        <v>45872</v>
      </c>
      <c r="F5" s="20">
        <v>1</v>
      </c>
      <c r="G5" s="21"/>
      <c r="H5" s="20"/>
      <c r="I5" s="20">
        <f t="shared" ref="I5:I9" si="0">F5+H5</f>
        <v>1</v>
      </c>
      <c r="J5" s="20">
        <f>C5-I5</f>
        <v>0</v>
      </c>
    </row>
    <row r="6" spans="1:10">
      <c r="A6" s="19"/>
      <c r="B6" s="19" t="s">
        <v>32</v>
      </c>
      <c r="C6" s="20">
        <v>9</v>
      </c>
      <c r="D6" s="20"/>
      <c r="E6" s="21">
        <v>45872</v>
      </c>
      <c r="F6" s="20">
        <v>5</v>
      </c>
      <c r="G6" s="21" t="s">
        <v>33</v>
      </c>
      <c r="H6" s="20">
        <v>4</v>
      </c>
      <c r="I6" s="20">
        <f t="shared" si="0"/>
        <v>9</v>
      </c>
      <c r="J6" s="20">
        <f t="shared" ref="J6:J8" si="1">C6-I6</f>
        <v>0</v>
      </c>
    </row>
    <row r="7" spans="1:10">
      <c r="A7" s="20"/>
      <c r="B7" s="19" t="s">
        <v>34</v>
      </c>
      <c r="C7" s="20">
        <v>10</v>
      </c>
      <c r="D7" s="20"/>
      <c r="E7" s="21">
        <v>45872</v>
      </c>
      <c r="F7" s="20">
        <v>6</v>
      </c>
      <c r="G7" s="21"/>
      <c r="H7" s="20"/>
      <c r="I7" s="20">
        <v>10</v>
      </c>
      <c r="J7" s="20">
        <f t="shared" si="1"/>
        <v>0</v>
      </c>
    </row>
    <row r="8" spans="1:10" s="15" customFormat="1">
      <c r="A8" s="22"/>
      <c r="B8" s="43" t="s">
        <v>35</v>
      </c>
      <c r="C8" s="44">
        <f>8*2</f>
        <v>16</v>
      </c>
      <c r="D8" s="44"/>
      <c r="E8" s="45"/>
      <c r="F8" s="44"/>
      <c r="G8" s="45" t="s">
        <v>33</v>
      </c>
      <c r="H8" s="44">
        <v>2</v>
      </c>
      <c r="I8" s="44">
        <f t="shared" si="0"/>
        <v>2</v>
      </c>
      <c r="J8" s="44">
        <f t="shared" si="1"/>
        <v>14</v>
      </c>
    </row>
    <row r="9" spans="1:10" s="15" customFormat="1">
      <c r="A9" s="25"/>
      <c r="B9" s="46" t="s">
        <v>147</v>
      </c>
      <c r="C9" s="44">
        <v>16</v>
      </c>
      <c r="D9" s="44"/>
      <c r="E9" s="47"/>
      <c r="F9" s="44">
        <v>1</v>
      </c>
      <c r="G9" s="45" t="s">
        <v>33</v>
      </c>
      <c r="H9" s="44">
        <v>6</v>
      </c>
      <c r="I9" s="44">
        <f t="shared" si="0"/>
        <v>7</v>
      </c>
      <c r="J9" s="44">
        <f>C9-I9</f>
        <v>9</v>
      </c>
    </row>
    <row r="10" spans="1:10" s="15" customFormat="1">
      <c r="A10" s="23"/>
      <c r="B10" s="23" t="s">
        <v>36</v>
      </c>
      <c r="C10" s="22">
        <v>4</v>
      </c>
      <c r="D10" s="22"/>
      <c r="E10" s="24">
        <v>45872</v>
      </c>
      <c r="F10" s="22">
        <v>4</v>
      </c>
      <c r="G10" s="24"/>
      <c r="H10" s="22"/>
      <c r="I10" s="22">
        <f>F10+H10</f>
        <v>4</v>
      </c>
      <c r="J10" s="22">
        <f>C10-I10</f>
        <v>0</v>
      </c>
    </row>
    <row r="11" spans="1:10" s="15" customFormat="1">
      <c r="A11" s="23"/>
      <c r="B11" s="43" t="s">
        <v>37</v>
      </c>
      <c r="C11" s="44">
        <v>80</v>
      </c>
      <c r="D11" s="44"/>
      <c r="E11" s="45">
        <v>45872</v>
      </c>
      <c r="F11" s="44">
        <v>16</v>
      </c>
      <c r="G11" s="45" t="s">
        <v>33</v>
      </c>
      <c r="H11" s="44">
        <v>16</v>
      </c>
      <c r="I11" s="44">
        <f t="shared" ref="I11:I25" si="2">F11+H11</f>
        <v>32</v>
      </c>
      <c r="J11" s="44">
        <f>C11-I11</f>
        <v>48</v>
      </c>
    </row>
    <row r="12" spans="1:10" s="15" customFormat="1">
      <c r="A12" s="23"/>
      <c r="B12" s="43" t="s">
        <v>38</v>
      </c>
      <c r="C12" s="44">
        <f>2*8</f>
        <v>16</v>
      </c>
      <c r="D12" s="44"/>
      <c r="E12" s="45">
        <v>45872</v>
      </c>
      <c r="F12" s="44">
        <v>8</v>
      </c>
      <c r="G12" s="45" t="s">
        <v>33</v>
      </c>
      <c r="H12" s="44">
        <v>1</v>
      </c>
      <c r="I12" s="44">
        <f t="shared" si="2"/>
        <v>9</v>
      </c>
      <c r="J12" s="44">
        <f t="shared" ref="J12:J61" si="3">C12-I12</f>
        <v>7</v>
      </c>
    </row>
    <row r="13" spans="1:10" s="15" customFormat="1">
      <c r="A13" s="23"/>
      <c r="B13" s="37" t="s">
        <v>148</v>
      </c>
      <c r="C13" s="22">
        <v>2</v>
      </c>
      <c r="D13" s="23" t="s">
        <v>31</v>
      </c>
      <c r="E13" s="24">
        <v>45872</v>
      </c>
      <c r="F13" s="22">
        <v>2</v>
      </c>
      <c r="G13" s="24"/>
      <c r="H13" s="22"/>
      <c r="I13" s="22">
        <f t="shared" si="2"/>
        <v>2</v>
      </c>
      <c r="J13" s="22">
        <f>C13-I13</f>
        <v>0</v>
      </c>
    </row>
    <row r="14" spans="1:10" s="15" customFormat="1">
      <c r="A14" s="23"/>
      <c r="B14" s="50" t="s">
        <v>39</v>
      </c>
      <c r="C14" s="51">
        <v>16</v>
      </c>
      <c r="D14" s="51"/>
      <c r="E14" s="52">
        <v>45872</v>
      </c>
      <c r="F14" s="51">
        <v>16</v>
      </c>
      <c r="G14" s="52" t="s">
        <v>33</v>
      </c>
      <c r="H14" s="51">
        <v>1</v>
      </c>
      <c r="I14" s="51">
        <f t="shared" si="2"/>
        <v>17</v>
      </c>
      <c r="J14" s="51">
        <v>0</v>
      </c>
    </row>
    <row r="15" spans="1:10" s="15" customFormat="1">
      <c r="A15" s="23"/>
      <c r="B15" s="50" t="s">
        <v>40</v>
      </c>
      <c r="C15" s="51">
        <v>16</v>
      </c>
      <c r="D15" s="51"/>
      <c r="E15" s="52">
        <v>45872</v>
      </c>
      <c r="F15" s="51">
        <v>16</v>
      </c>
      <c r="G15" s="52" t="s">
        <v>33</v>
      </c>
      <c r="H15" s="51">
        <v>1</v>
      </c>
      <c r="I15" s="51">
        <f t="shared" si="2"/>
        <v>17</v>
      </c>
      <c r="J15" s="51">
        <v>0</v>
      </c>
    </row>
    <row r="16" spans="1:10" s="15" customFormat="1">
      <c r="A16" s="23"/>
      <c r="B16" s="23" t="s">
        <v>41</v>
      </c>
      <c r="C16" s="22">
        <v>12</v>
      </c>
      <c r="D16" s="22"/>
      <c r="E16" s="24">
        <v>45872</v>
      </c>
      <c r="F16" s="22">
        <v>12</v>
      </c>
      <c r="G16" s="24"/>
      <c r="H16" s="22"/>
      <c r="I16" s="22">
        <f t="shared" si="2"/>
        <v>12</v>
      </c>
      <c r="J16" s="22">
        <f t="shared" si="3"/>
        <v>0</v>
      </c>
    </row>
    <row r="17" spans="1:10" s="15" customFormat="1">
      <c r="A17" s="23"/>
      <c r="B17" s="23" t="s">
        <v>42</v>
      </c>
      <c r="C17" s="22">
        <v>32</v>
      </c>
      <c r="D17" s="22" t="s">
        <v>43</v>
      </c>
      <c r="E17" s="24">
        <v>45872</v>
      </c>
      <c r="F17" s="22">
        <v>32</v>
      </c>
      <c r="G17" s="21" t="s">
        <v>33</v>
      </c>
      <c r="H17" s="22">
        <v>2</v>
      </c>
      <c r="I17" s="22">
        <f t="shared" si="2"/>
        <v>34</v>
      </c>
      <c r="J17" s="22">
        <v>0</v>
      </c>
    </row>
    <row r="18" spans="1:10" s="15" customFormat="1">
      <c r="A18" s="23"/>
      <c r="B18" s="23" t="s">
        <v>44</v>
      </c>
      <c r="C18" s="22">
        <v>32</v>
      </c>
      <c r="D18" s="22" t="s">
        <v>43</v>
      </c>
      <c r="E18" s="24">
        <v>45872</v>
      </c>
      <c r="F18" s="22">
        <v>32</v>
      </c>
      <c r="G18" s="21" t="s">
        <v>33</v>
      </c>
      <c r="H18" s="22">
        <v>2</v>
      </c>
      <c r="I18" s="22">
        <f t="shared" si="2"/>
        <v>34</v>
      </c>
      <c r="J18" s="22">
        <v>0</v>
      </c>
    </row>
    <row r="19" spans="1:10">
      <c r="A19" s="19"/>
      <c r="B19" s="19" t="s">
        <v>45</v>
      </c>
      <c r="C19" s="20">
        <v>5</v>
      </c>
      <c r="D19" s="20"/>
      <c r="E19" s="24">
        <v>45872</v>
      </c>
      <c r="F19" s="20">
        <v>5</v>
      </c>
      <c r="G19" s="21"/>
      <c r="H19" s="20"/>
      <c r="I19" s="22">
        <f t="shared" si="2"/>
        <v>5</v>
      </c>
      <c r="J19" s="22">
        <f t="shared" si="3"/>
        <v>0</v>
      </c>
    </row>
    <row r="20" spans="1:10">
      <c r="A20" s="19"/>
      <c r="B20" s="19" t="s">
        <v>46</v>
      </c>
      <c r="C20" s="20">
        <v>1</v>
      </c>
      <c r="D20" s="20" t="s">
        <v>47</v>
      </c>
      <c r="E20" s="24">
        <v>45872</v>
      </c>
      <c r="F20" s="20">
        <v>1</v>
      </c>
      <c r="G20" s="21"/>
      <c r="H20" s="20"/>
      <c r="I20" s="22">
        <f t="shared" si="2"/>
        <v>1</v>
      </c>
      <c r="J20" s="22">
        <f t="shared" si="3"/>
        <v>0</v>
      </c>
    </row>
    <row r="21" spans="1:10">
      <c r="A21" s="19"/>
      <c r="B21" s="19" t="s">
        <v>46</v>
      </c>
      <c r="C21" s="20">
        <v>2</v>
      </c>
      <c r="D21" s="20" t="s">
        <v>48</v>
      </c>
      <c r="E21" s="24">
        <v>45872</v>
      </c>
      <c r="F21" s="20">
        <v>2</v>
      </c>
      <c r="G21" s="21"/>
      <c r="H21" s="20"/>
      <c r="I21" s="22">
        <f t="shared" si="2"/>
        <v>2</v>
      </c>
      <c r="J21" s="22">
        <f t="shared" si="3"/>
        <v>0</v>
      </c>
    </row>
    <row r="22" spans="1:10">
      <c r="A22" s="19"/>
      <c r="B22" s="50" t="s">
        <v>49</v>
      </c>
      <c r="C22" s="51">
        <v>10</v>
      </c>
      <c r="D22" s="51" t="s">
        <v>48</v>
      </c>
      <c r="E22" s="52">
        <v>45872</v>
      </c>
      <c r="F22" s="51">
        <v>10</v>
      </c>
      <c r="G22" s="52"/>
      <c r="H22" s="51"/>
      <c r="I22" s="51">
        <f t="shared" si="2"/>
        <v>10</v>
      </c>
      <c r="J22" s="51">
        <f t="shared" si="3"/>
        <v>0</v>
      </c>
    </row>
    <row r="23" spans="1:10" ht="15.6" customHeight="1">
      <c r="A23" s="19"/>
      <c r="B23" s="19" t="s">
        <v>50</v>
      </c>
      <c r="C23" s="20">
        <v>8</v>
      </c>
      <c r="D23" s="20" t="s">
        <v>47</v>
      </c>
      <c r="E23" s="21">
        <v>45721</v>
      </c>
      <c r="F23" s="20">
        <v>2</v>
      </c>
      <c r="G23" s="21">
        <v>45748</v>
      </c>
      <c r="H23" s="20">
        <f>C23-F23</f>
        <v>6</v>
      </c>
      <c r="I23" s="22">
        <f t="shared" si="2"/>
        <v>8</v>
      </c>
      <c r="J23" s="22">
        <f t="shared" si="3"/>
        <v>0</v>
      </c>
    </row>
    <row r="24" spans="1:10" ht="15.6" customHeight="1">
      <c r="A24" s="19"/>
      <c r="B24" s="19" t="s">
        <v>50</v>
      </c>
      <c r="C24" s="20">
        <v>8</v>
      </c>
      <c r="D24" s="20" t="s">
        <v>48</v>
      </c>
      <c r="E24" s="21">
        <v>45721</v>
      </c>
      <c r="F24" s="20">
        <v>1</v>
      </c>
      <c r="G24" s="21">
        <v>45748</v>
      </c>
      <c r="H24" s="20">
        <f>C24-F24</f>
        <v>7</v>
      </c>
      <c r="I24" s="22">
        <f t="shared" si="2"/>
        <v>8</v>
      </c>
      <c r="J24" s="22">
        <f t="shared" si="3"/>
        <v>0</v>
      </c>
    </row>
    <row r="25" spans="1:10">
      <c r="A25" s="19"/>
      <c r="B25" s="19" t="s">
        <v>51</v>
      </c>
      <c r="C25" s="20">
        <v>2</v>
      </c>
      <c r="D25" s="20" t="s">
        <v>48</v>
      </c>
      <c r="E25" s="21">
        <v>45872</v>
      </c>
      <c r="F25" s="20">
        <v>2</v>
      </c>
      <c r="G25" s="21"/>
      <c r="H25" s="20"/>
      <c r="I25" s="22">
        <f t="shared" si="2"/>
        <v>2</v>
      </c>
      <c r="J25" s="22">
        <f t="shared" si="3"/>
        <v>0</v>
      </c>
    </row>
    <row r="26" spans="1:10">
      <c r="A26" s="19"/>
      <c r="B26" s="19" t="s">
        <v>52</v>
      </c>
      <c r="C26" s="20">
        <v>8</v>
      </c>
      <c r="D26" s="20"/>
      <c r="E26" s="21"/>
      <c r="F26" s="20"/>
      <c r="G26" s="21" t="s">
        <v>33</v>
      </c>
      <c r="H26" s="20">
        <v>8</v>
      </c>
      <c r="I26" s="20">
        <f>F26+H26</f>
        <v>8</v>
      </c>
      <c r="J26" s="22">
        <f t="shared" si="3"/>
        <v>0</v>
      </c>
    </row>
    <row r="27" spans="1:10">
      <c r="A27" s="19"/>
      <c r="B27" s="26" t="s">
        <v>53</v>
      </c>
      <c r="C27" s="20">
        <v>8</v>
      </c>
      <c r="D27" s="20"/>
      <c r="E27" s="21">
        <v>45872</v>
      </c>
      <c r="F27" s="20">
        <v>6</v>
      </c>
      <c r="G27" s="21" t="s">
        <v>33</v>
      </c>
      <c r="H27" s="20">
        <v>2</v>
      </c>
      <c r="I27" s="20">
        <f t="shared" ref="I27:I61" si="4">F27+H27</f>
        <v>8</v>
      </c>
      <c r="J27" s="22">
        <f t="shared" si="3"/>
        <v>0</v>
      </c>
    </row>
    <row r="28" spans="1:10">
      <c r="A28" s="19"/>
      <c r="B28" s="26" t="s">
        <v>54</v>
      </c>
      <c r="C28" s="20">
        <v>8</v>
      </c>
      <c r="D28" s="20"/>
      <c r="E28" s="21">
        <v>45872</v>
      </c>
      <c r="F28" s="20">
        <v>4</v>
      </c>
      <c r="G28" s="21" t="s">
        <v>33</v>
      </c>
      <c r="H28" s="20">
        <v>4</v>
      </c>
      <c r="I28" s="20">
        <f t="shared" si="4"/>
        <v>8</v>
      </c>
      <c r="J28" s="22">
        <f t="shared" si="3"/>
        <v>0</v>
      </c>
    </row>
    <row r="29" spans="1:10">
      <c r="A29" s="19"/>
      <c r="B29" s="26" t="s">
        <v>55</v>
      </c>
      <c r="C29" s="20">
        <v>8</v>
      </c>
      <c r="D29" s="20"/>
      <c r="E29" s="21"/>
      <c r="F29" s="20"/>
      <c r="G29" s="21" t="s">
        <v>33</v>
      </c>
      <c r="H29" s="20">
        <v>8</v>
      </c>
      <c r="I29" s="20">
        <f t="shared" si="4"/>
        <v>8</v>
      </c>
      <c r="J29" s="22">
        <f t="shared" si="3"/>
        <v>0</v>
      </c>
    </row>
    <row r="30" spans="1:10">
      <c r="A30" s="19"/>
      <c r="B30" s="26" t="s">
        <v>56</v>
      </c>
      <c r="C30" s="20">
        <v>8</v>
      </c>
      <c r="D30" s="20"/>
      <c r="E30" s="21">
        <v>45872</v>
      </c>
      <c r="F30" s="20">
        <v>1</v>
      </c>
      <c r="G30" s="21" t="s">
        <v>33</v>
      </c>
      <c r="H30" s="20">
        <v>7</v>
      </c>
      <c r="I30" s="20">
        <f t="shared" si="4"/>
        <v>8</v>
      </c>
      <c r="J30" s="22">
        <f t="shared" si="3"/>
        <v>0</v>
      </c>
    </row>
    <row r="31" spans="1:10">
      <c r="A31" s="19"/>
      <c r="B31" s="53" t="s">
        <v>57</v>
      </c>
      <c r="C31" s="22">
        <v>8</v>
      </c>
      <c r="D31" s="22"/>
      <c r="E31" s="24">
        <v>45872</v>
      </c>
      <c r="F31" s="22">
        <v>2</v>
      </c>
      <c r="G31" s="24"/>
      <c r="H31" s="22">
        <v>6</v>
      </c>
      <c r="I31" s="22">
        <f t="shared" si="4"/>
        <v>8</v>
      </c>
      <c r="J31" s="22">
        <f t="shared" si="3"/>
        <v>0</v>
      </c>
    </row>
    <row r="32" spans="1:10">
      <c r="A32" s="19"/>
      <c r="B32" s="26" t="s">
        <v>58</v>
      </c>
      <c r="C32" s="20">
        <v>8</v>
      </c>
      <c r="D32" s="20"/>
      <c r="E32" s="21">
        <v>45872</v>
      </c>
      <c r="F32" s="20">
        <v>1</v>
      </c>
      <c r="G32" s="21" t="s">
        <v>33</v>
      </c>
      <c r="H32" s="20">
        <v>7</v>
      </c>
      <c r="I32" s="20">
        <f t="shared" si="4"/>
        <v>8</v>
      </c>
      <c r="J32" s="22">
        <f t="shared" si="3"/>
        <v>0</v>
      </c>
    </row>
    <row r="33" spans="1:10">
      <c r="A33" s="19"/>
      <c r="B33" s="48" t="s">
        <v>59</v>
      </c>
      <c r="C33" s="44">
        <v>8</v>
      </c>
      <c r="D33" s="44"/>
      <c r="E33" s="45">
        <v>45872</v>
      </c>
      <c r="F33" s="44">
        <v>2</v>
      </c>
      <c r="G33" s="45" t="s">
        <v>33</v>
      </c>
      <c r="H33" s="44">
        <v>4</v>
      </c>
      <c r="I33" s="44">
        <f t="shared" si="4"/>
        <v>6</v>
      </c>
      <c r="J33" s="44">
        <f t="shared" si="3"/>
        <v>2</v>
      </c>
    </row>
    <row r="34" spans="1:10">
      <c r="A34" s="19"/>
      <c r="B34" s="26" t="s">
        <v>60</v>
      </c>
      <c r="C34" s="20">
        <v>8</v>
      </c>
      <c r="D34" s="20"/>
      <c r="E34" s="21"/>
      <c r="F34" s="20"/>
      <c r="G34" s="21" t="s">
        <v>33</v>
      </c>
      <c r="H34" s="20">
        <v>8</v>
      </c>
      <c r="I34" s="20">
        <f t="shared" si="4"/>
        <v>8</v>
      </c>
      <c r="J34" s="22">
        <f t="shared" si="3"/>
        <v>0</v>
      </c>
    </row>
    <row r="35" spans="1:10">
      <c r="A35" s="19"/>
      <c r="B35" s="26" t="s">
        <v>61</v>
      </c>
      <c r="C35" s="20">
        <v>8</v>
      </c>
      <c r="D35" s="20"/>
      <c r="E35" s="21"/>
      <c r="F35" s="20"/>
      <c r="G35" s="21" t="s">
        <v>33</v>
      </c>
      <c r="H35" s="20">
        <v>8</v>
      </c>
      <c r="I35" s="20">
        <f t="shared" si="4"/>
        <v>8</v>
      </c>
      <c r="J35" s="22">
        <f t="shared" si="3"/>
        <v>0</v>
      </c>
    </row>
    <row r="36" spans="1:10">
      <c r="A36" s="19"/>
      <c r="B36" s="48" t="s">
        <v>62</v>
      </c>
      <c r="C36" s="44">
        <v>8</v>
      </c>
      <c r="D36" s="44"/>
      <c r="E36" s="45">
        <v>45872</v>
      </c>
      <c r="F36" s="44">
        <v>2</v>
      </c>
      <c r="G36" s="45" t="s">
        <v>33</v>
      </c>
      <c r="H36" s="44">
        <v>4</v>
      </c>
      <c r="I36" s="44">
        <f t="shared" si="4"/>
        <v>6</v>
      </c>
      <c r="J36" s="44">
        <f t="shared" si="3"/>
        <v>2</v>
      </c>
    </row>
    <row r="37" spans="1:10">
      <c r="A37" s="19"/>
      <c r="B37" s="26" t="s">
        <v>63</v>
      </c>
      <c r="C37" s="20">
        <v>8</v>
      </c>
      <c r="D37" s="20"/>
      <c r="E37" s="21">
        <v>45872</v>
      </c>
      <c r="F37" s="20">
        <v>8</v>
      </c>
      <c r="G37" s="21"/>
      <c r="H37" s="20"/>
      <c r="I37" s="20">
        <f t="shared" si="4"/>
        <v>8</v>
      </c>
      <c r="J37" s="22">
        <f t="shared" si="3"/>
        <v>0</v>
      </c>
    </row>
    <row r="38" spans="1:10">
      <c r="A38" s="19"/>
      <c r="B38" s="48" t="s">
        <v>64</v>
      </c>
      <c r="C38" s="44">
        <v>8</v>
      </c>
      <c r="D38" s="44"/>
      <c r="E38" s="45">
        <v>45872</v>
      </c>
      <c r="F38" s="44">
        <v>3</v>
      </c>
      <c r="G38" s="45" t="s">
        <v>33</v>
      </c>
      <c r="H38" s="44">
        <v>2</v>
      </c>
      <c r="I38" s="44">
        <f t="shared" si="4"/>
        <v>5</v>
      </c>
      <c r="J38" s="44">
        <f t="shared" si="3"/>
        <v>3</v>
      </c>
    </row>
    <row r="39" spans="1:10">
      <c r="A39" s="19"/>
      <c r="B39" s="53" t="s">
        <v>65</v>
      </c>
      <c r="C39" s="22">
        <v>8</v>
      </c>
      <c r="D39" s="22"/>
      <c r="E39" s="24"/>
      <c r="F39" s="22"/>
      <c r="G39" s="24"/>
      <c r="H39" s="22">
        <v>8</v>
      </c>
      <c r="I39" s="22">
        <f t="shared" si="4"/>
        <v>8</v>
      </c>
      <c r="J39" s="22">
        <f t="shared" si="3"/>
        <v>0</v>
      </c>
    </row>
    <row r="40" spans="1:10">
      <c r="A40" s="19"/>
      <c r="B40" s="26" t="s">
        <v>66</v>
      </c>
      <c r="C40" s="20">
        <v>8</v>
      </c>
      <c r="D40" s="20"/>
      <c r="E40" s="21"/>
      <c r="F40" s="20"/>
      <c r="G40" s="21" t="s">
        <v>33</v>
      </c>
      <c r="H40" s="20">
        <v>8</v>
      </c>
      <c r="I40" s="20">
        <f t="shared" si="4"/>
        <v>8</v>
      </c>
      <c r="J40" s="22">
        <f t="shared" si="3"/>
        <v>0</v>
      </c>
    </row>
    <row r="41" spans="1:10">
      <c r="A41" s="19"/>
      <c r="B41" s="26" t="s">
        <v>67</v>
      </c>
      <c r="C41" s="20">
        <v>8</v>
      </c>
      <c r="D41" s="20"/>
      <c r="E41" s="21"/>
      <c r="F41" s="20"/>
      <c r="G41" s="21" t="s">
        <v>33</v>
      </c>
      <c r="H41" s="20">
        <v>8</v>
      </c>
      <c r="I41" s="20">
        <f t="shared" si="4"/>
        <v>8</v>
      </c>
      <c r="J41" s="22">
        <f t="shared" si="3"/>
        <v>0</v>
      </c>
    </row>
    <row r="42" spans="1:10">
      <c r="A42" s="19"/>
      <c r="B42" s="26" t="s">
        <v>68</v>
      </c>
      <c r="C42" s="20">
        <v>8</v>
      </c>
      <c r="D42" s="20"/>
      <c r="E42" s="21"/>
      <c r="F42" s="20"/>
      <c r="G42" s="21" t="s">
        <v>33</v>
      </c>
      <c r="H42" s="20">
        <v>8</v>
      </c>
      <c r="I42" s="20">
        <f t="shared" si="4"/>
        <v>8</v>
      </c>
      <c r="J42" s="22">
        <f t="shared" si="3"/>
        <v>0</v>
      </c>
    </row>
    <row r="43" spans="1:10">
      <c r="A43" s="19"/>
      <c r="B43" s="26" t="s">
        <v>69</v>
      </c>
      <c r="C43" s="20">
        <v>8</v>
      </c>
      <c r="D43" s="20"/>
      <c r="E43" s="21">
        <v>45872</v>
      </c>
      <c r="F43" s="20">
        <v>1</v>
      </c>
      <c r="G43" s="21" t="s">
        <v>33</v>
      </c>
      <c r="H43" s="20">
        <v>7</v>
      </c>
      <c r="I43" s="20">
        <f t="shared" si="4"/>
        <v>8</v>
      </c>
      <c r="J43" s="22">
        <f t="shared" si="3"/>
        <v>0</v>
      </c>
    </row>
    <row r="44" spans="1:10">
      <c r="A44" s="19"/>
      <c r="B44" s="26" t="s">
        <v>70</v>
      </c>
      <c r="C44" s="20">
        <v>8</v>
      </c>
      <c r="D44" s="20"/>
      <c r="E44" s="21">
        <v>45872</v>
      </c>
      <c r="F44" s="20">
        <v>1</v>
      </c>
      <c r="G44" s="21" t="s">
        <v>33</v>
      </c>
      <c r="H44" s="20">
        <v>7</v>
      </c>
      <c r="I44" s="20">
        <f t="shared" si="4"/>
        <v>8</v>
      </c>
      <c r="J44" s="22">
        <f t="shared" si="3"/>
        <v>0</v>
      </c>
    </row>
    <row r="45" spans="1:10">
      <c r="A45" s="19"/>
      <c r="B45" s="26" t="s">
        <v>71</v>
      </c>
      <c r="C45" s="20">
        <v>8</v>
      </c>
      <c r="D45" s="20"/>
      <c r="E45" s="21"/>
      <c r="F45" s="20"/>
      <c r="G45" s="21" t="s">
        <v>33</v>
      </c>
      <c r="H45" s="20">
        <v>8</v>
      </c>
      <c r="I45" s="20">
        <f t="shared" si="4"/>
        <v>8</v>
      </c>
      <c r="J45" s="22">
        <f t="shared" si="3"/>
        <v>0</v>
      </c>
    </row>
    <row r="46" spans="1:10">
      <c r="A46" s="19"/>
      <c r="B46" s="26" t="s">
        <v>72</v>
      </c>
      <c r="C46" s="20">
        <v>8</v>
      </c>
      <c r="D46" s="20"/>
      <c r="E46" s="21"/>
      <c r="F46" s="20"/>
      <c r="G46" s="21" t="s">
        <v>33</v>
      </c>
      <c r="H46" s="20">
        <v>8</v>
      </c>
      <c r="I46" s="20">
        <f t="shared" si="4"/>
        <v>8</v>
      </c>
      <c r="J46" s="22">
        <f t="shared" si="3"/>
        <v>0</v>
      </c>
    </row>
    <row r="47" spans="1:10">
      <c r="A47" s="19"/>
      <c r="B47" s="26" t="s">
        <v>73</v>
      </c>
      <c r="C47" s="20">
        <v>16</v>
      </c>
      <c r="D47" s="20"/>
      <c r="E47" s="21">
        <v>45872</v>
      </c>
      <c r="F47" s="20">
        <v>12</v>
      </c>
      <c r="G47" s="21" t="s">
        <v>33</v>
      </c>
      <c r="H47" s="20">
        <v>4</v>
      </c>
      <c r="I47" s="20">
        <f t="shared" si="4"/>
        <v>16</v>
      </c>
      <c r="J47" s="22">
        <f t="shared" si="3"/>
        <v>0</v>
      </c>
    </row>
    <row r="48" spans="1:10">
      <c r="A48" s="19"/>
      <c r="B48" s="26" t="s">
        <v>74</v>
      </c>
      <c r="C48" s="20">
        <v>16</v>
      </c>
      <c r="D48" s="20"/>
      <c r="E48" s="21">
        <v>45872</v>
      </c>
      <c r="F48" s="20">
        <v>1</v>
      </c>
      <c r="G48" s="21" t="s">
        <v>33</v>
      </c>
      <c r="H48" s="20">
        <v>15</v>
      </c>
      <c r="I48" s="20">
        <f t="shared" si="4"/>
        <v>16</v>
      </c>
      <c r="J48" s="22">
        <f t="shared" si="3"/>
        <v>0</v>
      </c>
    </row>
    <row r="49" spans="1:10">
      <c r="A49" s="19"/>
      <c r="B49" s="26" t="s">
        <v>75</v>
      </c>
      <c r="C49" s="20">
        <v>32</v>
      </c>
      <c r="D49" s="20"/>
      <c r="E49" s="21">
        <v>45872</v>
      </c>
      <c r="F49" s="20">
        <v>10</v>
      </c>
      <c r="G49" s="21" t="s">
        <v>33</v>
      </c>
      <c r="H49" s="20">
        <v>22</v>
      </c>
      <c r="I49" s="20">
        <f t="shared" si="4"/>
        <v>32</v>
      </c>
      <c r="J49" s="22">
        <f t="shared" si="3"/>
        <v>0</v>
      </c>
    </row>
    <row r="50" spans="1:10">
      <c r="A50" s="19"/>
      <c r="B50" s="26" t="s">
        <v>76</v>
      </c>
      <c r="C50" s="20">
        <v>32</v>
      </c>
      <c r="D50" s="20"/>
      <c r="E50" s="21">
        <v>45872</v>
      </c>
      <c r="F50" s="20">
        <v>4</v>
      </c>
      <c r="G50" s="21" t="s">
        <v>33</v>
      </c>
      <c r="H50" s="20">
        <v>28</v>
      </c>
      <c r="I50" s="20">
        <f t="shared" si="4"/>
        <v>32</v>
      </c>
      <c r="J50" s="22">
        <f t="shared" si="3"/>
        <v>0</v>
      </c>
    </row>
    <row r="51" spans="1:10">
      <c r="A51" s="19"/>
      <c r="B51" s="26" t="s">
        <v>77</v>
      </c>
      <c r="C51" s="20">
        <v>16</v>
      </c>
      <c r="D51" s="20"/>
      <c r="E51" s="21"/>
      <c r="F51" s="20"/>
      <c r="G51" s="21" t="s">
        <v>33</v>
      </c>
      <c r="H51" s="20">
        <v>16</v>
      </c>
      <c r="I51" s="20">
        <f t="shared" si="4"/>
        <v>16</v>
      </c>
      <c r="J51" s="22">
        <f t="shared" si="3"/>
        <v>0</v>
      </c>
    </row>
    <row r="52" spans="1:10">
      <c r="A52" s="19"/>
      <c r="B52" s="26" t="s">
        <v>78</v>
      </c>
      <c r="C52" s="20">
        <v>32</v>
      </c>
      <c r="D52" s="20"/>
      <c r="E52" s="21"/>
      <c r="F52" s="20"/>
      <c r="G52" s="21" t="s">
        <v>33</v>
      </c>
      <c r="H52" s="20">
        <v>32</v>
      </c>
      <c r="I52" s="20">
        <f t="shared" si="4"/>
        <v>32</v>
      </c>
      <c r="J52" s="22">
        <f t="shared" si="3"/>
        <v>0</v>
      </c>
    </row>
    <row r="53" spans="1:10">
      <c r="A53" s="19"/>
      <c r="B53" s="26" t="s">
        <v>79</v>
      </c>
      <c r="C53" s="20">
        <v>16</v>
      </c>
      <c r="D53" s="20"/>
      <c r="E53" s="21"/>
      <c r="F53" s="20"/>
      <c r="G53" s="21" t="s">
        <v>33</v>
      </c>
      <c r="H53" s="20">
        <v>16</v>
      </c>
      <c r="I53" s="20">
        <f t="shared" si="4"/>
        <v>16</v>
      </c>
      <c r="J53" s="22">
        <f t="shared" si="3"/>
        <v>0</v>
      </c>
    </row>
    <row r="54" spans="1:10">
      <c r="A54" s="19"/>
      <c r="B54" s="26" t="s">
        <v>80</v>
      </c>
      <c r="C54" s="20">
        <v>8</v>
      </c>
      <c r="D54" s="20"/>
      <c r="E54" s="21"/>
      <c r="F54" s="20"/>
      <c r="G54" s="21" t="s">
        <v>33</v>
      </c>
      <c r="H54" s="20">
        <v>8</v>
      </c>
      <c r="I54" s="20">
        <f t="shared" si="4"/>
        <v>8</v>
      </c>
      <c r="J54" s="22">
        <f t="shared" si="3"/>
        <v>0</v>
      </c>
    </row>
    <row r="55" spans="1:10">
      <c r="A55" s="19"/>
      <c r="B55" s="19" t="s">
        <v>81</v>
      </c>
      <c r="C55" s="20">
        <v>32</v>
      </c>
      <c r="D55" s="20"/>
      <c r="E55" s="21">
        <v>45872</v>
      </c>
      <c r="F55" s="20">
        <v>26</v>
      </c>
      <c r="G55" s="21"/>
      <c r="H55" s="20"/>
      <c r="I55" s="20">
        <f t="shared" si="4"/>
        <v>26</v>
      </c>
      <c r="J55" s="22">
        <f t="shared" si="3"/>
        <v>6</v>
      </c>
    </row>
    <row r="56" spans="1:10">
      <c r="A56" s="19"/>
      <c r="B56" s="26" t="s">
        <v>82</v>
      </c>
      <c r="C56" s="20">
        <v>32</v>
      </c>
      <c r="D56" s="20"/>
      <c r="E56" s="21">
        <v>45872</v>
      </c>
      <c r="F56" s="20">
        <v>32</v>
      </c>
      <c r="G56" s="21"/>
      <c r="H56" s="20"/>
      <c r="I56" s="20">
        <f t="shared" si="4"/>
        <v>32</v>
      </c>
      <c r="J56" s="22">
        <f t="shared" si="3"/>
        <v>0</v>
      </c>
    </row>
    <row r="57" spans="1:10">
      <c r="A57" s="19"/>
      <c r="B57" s="26" t="s">
        <v>83</v>
      </c>
      <c r="C57" s="20">
        <v>8</v>
      </c>
      <c r="D57" s="20"/>
      <c r="E57" s="21">
        <v>45872</v>
      </c>
      <c r="F57" s="20">
        <v>1</v>
      </c>
      <c r="G57" s="21" t="s">
        <v>33</v>
      </c>
      <c r="H57" s="20">
        <v>8</v>
      </c>
      <c r="I57" s="20">
        <f t="shared" si="4"/>
        <v>9</v>
      </c>
      <c r="J57" s="22">
        <v>0</v>
      </c>
    </row>
    <row r="58" spans="1:10">
      <c r="A58" s="19"/>
      <c r="B58" s="26" t="s">
        <v>84</v>
      </c>
      <c r="C58" s="20">
        <v>8</v>
      </c>
      <c r="D58" s="20"/>
      <c r="E58" s="21"/>
      <c r="F58" s="20"/>
      <c r="G58" s="21" t="s">
        <v>33</v>
      </c>
      <c r="H58" s="20">
        <v>8</v>
      </c>
      <c r="I58" s="20">
        <f t="shared" si="4"/>
        <v>8</v>
      </c>
      <c r="J58" s="22">
        <f t="shared" si="3"/>
        <v>0</v>
      </c>
    </row>
    <row r="59" spans="1:10">
      <c r="A59" s="19"/>
      <c r="B59" s="48" t="s">
        <v>85</v>
      </c>
      <c r="C59" s="44">
        <v>8</v>
      </c>
      <c r="D59" s="44"/>
      <c r="E59" s="45"/>
      <c r="F59" s="44"/>
      <c r="G59" s="45" t="s">
        <v>33</v>
      </c>
      <c r="H59" s="44">
        <v>7</v>
      </c>
      <c r="I59" s="44">
        <f t="shared" si="4"/>
        <v>7</v>
      </c>
      <c r="J59" s="44">
        <f t="shared" si="3"/>
        <v>1</v>
      </c>
    </row>
    <row r="60" spans="1:10">
      <c r="A60" s="19"/>
      <c r="B60" s="43" t="s">
        <v>86</v>
      </c>
      <c r="C60" s="44">
        <v>10</v>
      </c>
      <c r="D60" s="44"/>
      <c r="E60" s="44"/>
      <c r="F60" s="44"/>
      <c r="G60" s="45" t="s">
        <v>33</v>
      </c>
      <c r="H60" s="44">
        <v>8</v>
      </c>
      <c r="I60" s="44">
        <f t="shared" si="4"/>
        <v>8</v>
      </c>
      <c r="J60" s="44">
        <f t="shared" si="3"/>
        <v>2</v>
      </c>
    </row>
    <row r="61" spans="1:10">
      <c r="A61" s="19"/>
      <c r="B61" s="19" t="s">
        <v>87</v>
      </c>
      <c r="C61" s="20">
        <v>12</v>
      </c>
      <c r="D61" s="20"/>
      <c r="E61" s="20"/>
      <c r="F61" s="20"/>
      <c r="G61" s="21" t="s">
        <v>33</v>
      </c>
      <c r="H61" s="20">
        <v>12</v>
      </c>
      <c r="I61" s="20">
        <f t="shared" si="4"/>
        <v>12</v>
      </c>
      <c r="J61" s="22">
        <f t="shared" si="3"/>
        <v>0</v>
      </c>
    </row>
  </sheetData>
  <autoFilter ref="A3:J6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W41"/>
  <sheetViews>
    <sheetView workbookViewId="0">
      <selection activeCell="I11" sqref="I11"/>
    </sheetView>
  </sheetViews>
  <sheetFormatPr defaultColWidth="9" defaultRowHeight="15"/>
  <cols>
    <col min="1" max="1" width="3.5703125" customWidth="1"/>
    <col min="2" max="2" width="4" customWidth="1"/>
    <col min="3" max="3" width="17.42578125" bestFit="1" customWidth="1"/>
    <col min="4" max="4" width="16.140625" customWidth="1"/>
    <col min="5" max="5" width="6.7109375" customWidth="1"/>
    <col min="7" max="7" width="51.7109375" customWidth="1"/>
    <col min="8" max="8" width="3" customWidth="1"/>
    <col min="9" max="9" width="14.140625" customWidth="1"/>
    <col min="10" max="20" width="12.140625" hidden="1" customWidth="1"/>
    <col min="21" max="21" width="15" bestFit="1" customWidth="1"/>
    <col min="22" max="22" width="12.85546875" bestFit="1" customWidth="1"/>
    <col min="23" max="23" width="15" bestFit="1" customWidth="1"/>
  </cols>
  <sheetData>
    <row r="2" spans="2:23">
      <c r="C2" s="7" t="s">
        <v>88</v>
      </c>
      <c r="D2" s="8" t="s">
        <v>89</v>
      </c>
      <c r="E2" s="7" t="s">
        <v>90</v>
      </c>
      <c r="G2" s="7" t="s">
        <v>91</v>
      </c>
    </row>
    <row r="3" spans="2:23">
      <c r="B3" s="9">
        <v>1</v>
      </c>
      <c r="C3" s="10" t="s">
        <v>92</v>
      </c>
      <c r="D3" t="s">
        <v>93</v>
      </c>
      <c r="G3" t="s">
        <v>94</v>
      </c>
      <c r="H3" s="9">
        <v>4</v>
      </c>
    </row>
    <row r="4" spans="2:23">
      <c r="B4" s="9"/>
      <c r="C4" s="7" t="s">
        <v>95</v>
      </c>
      <c r="G4" t="s">
        <v>96</v>
      </c>
      <c r="H4" s="9">
        <v>2</v>
      </c>
    </row>
    <row r="5" spans="2:23">
      <c r="B5" s="9">
        <v>1</v>
      </c>
      <c r="G5" t="s">
        <v>97</v>
      </c>
      <c r="H5" s="9">
        <v>1</v>
      </c>
      <c r="I5" t="s">
        <v>98</v>
      </c>
    </row>
    <row r="6" spans="2:23">
      <c r="B6" s="9">
        <v>2</v>
      </c>
      <c r="G6" t="s">
        <v>99</v>
      </c>
      <c r="H6" s="9">
        <v>2</v>
      </c>
    </row>
    <row r="7" spans="2:23">
      <c r="B7" s="9">
        <v>3</v>
      </c>
      <c r="G7" t="s">
        <v>100</v>
      </c>
      <c r="H7" s="9">
        <v>2</v>
      </c>
    </row>
    <row r="8" spans="2:23">
      <c r="B8" s="9">
        <v>4</v>
      </c>
      <c r="H8" s="9"/>
    </row>
    <row r="9" spans="2:23">
      <c r="C9" s="11"/>
      <c r="D9" s="11"/>
      <c r="G9" s="7" t="s">
        <v>101</v>
      </c>
      <c r="H9" s="9"/>
    </row>
    <row r="10" spans="2:23">
      <c r="B10" s="9"/>
      <c r="C10" s="11"/>
      <c r="D10" s="11"/>
      <c r="G10" t="s">
        <v>94</v>
      </c>
      <c r="H10" s="9">
        <v>12</v>
      </c>
    </row>
    <row r="11" spans="2:23">
      <c r="B11" s="9"/>
      <c r="C11" s="7" t="s">
        <v>102</v>
      </c>
      <c r="G11" t="s">
        <v>103</v>
      </c>
      <c r="H11" s="9">
        <v>6</v>
      </c>
      <c r="I11" t="s">
        <v>104</v>
      </c>
    </row>
    <row r="12" spans="2:23">
      <c r="B12" s="9">
        <v>1</v>
      </c>
      <c r="G12" t="s">
        <v>105</v>
      </c>
      <c r="H12" s="9">
        <v>3</v>
      </c>
    </row>
    <row r="13" spans="2:23">
      <c r="B13" s="9">
        <v>2</v>
      </c>
      <c r="G13" t="s">
        <v>100</v>
      </c>
      <c r="H13" s="9">
        <v>6</v>
      </c>
    </row>
    <row r="14" spans="2:23">
      <c r="B14" s="9">
        <v>3</v>
      </c>
      <c r="G14" t="s">
        <v>106</v>
      </c>
      <c r="H14" s="9">
        <v>1</v>
      </c>
      <c r="I14" t="s">
        <v>98</v>
      </c>
    </row>
    <row r="15" spans="2:23">
      <c r="B15" s="9">
        <v>4</v>
      </c>
    </row>
    <row r="16" spans="2:23">
      <c r="B16" s="9"/>
      <c r="G16" s="7" t="s">
        <v>107</v>
      </c>
      <c r="I16" s="35" t="s">
        <v>108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35" t="s">
        <v>109</v>
      </c>
      <c r="V16" s="35" t="s">
        <v>110</v>
      </c>
      <c r="W16" s="8" t="s">
        <v>111</v>
      </c>
    </row>
    <row r="17" spans="2:23">
      <c r="B17" s="9"/>
      <c r="C17" s="7" t="s">
        <v>112</v>
      </c>
      <c r="G17" s="12" t="s">
        <v>113</v>
      </c>
      <c r="H17" s="13">
        <v>1</v>
      </c>
      <c r="I17" s="14">
        <v>9435000</v>
      </c>
      <c r="J17" s="14">
        <v>9435000</v>
      </c>
      <c r="K17" s="14">
        <v>9435000</v>
      </c>
      <c r="L17" s="14">
        <v>9435000</v>
      </c>
      <c r="M17" s="14">
        <v>9435000</v>
      </c>
      <c r="N17" s="14">
        <v>9435000</v>
      </c>
      <c r="O17" s="14">
        <v>9435000</v>
      </c>
      <c r="P17" s="14">
        <v>9435000</v>
      </c>
      <c r="Q17" s="14">
        <v>9435000</v>
      </c>
      <c r="R17" s="14">
        <v>9435000</v>
      </c>
      <c r="S17" s="14">
        <v>9435000</v>
      </c>
      <c r="T17" s="14">
        <v>9435000</v>
      </c>
      <c r="U17" s="14">
        <f>SUM(I17:T17)</f>
        <v>113220000</v>
      </c>
      <c r="V17" s="14">
        <v>5000000</v>
      </c>
      <c r="W17" s="14">
        <f>V17+U17</f>
        <v>118220000</v>
      </c>
    </row>
    <row r="18" spans="2:23">
      <c r="B18" s="9">
        <v>1</v>
      </c>
      <c r="G18" s="12" t="s">
        <v>114</v>
      </c>
      <c r="H18" s="13">
        <v>1</v>
      </c>
      <c r="I18" s="14">
        <f>U$18/12</f>
        <v>5625000</v>
      </c>
      <c r="J18" s="14">
        <v>5625000</v>
      </c>
      <c r="K18" s="14">
        <v>5625000</v>
      </c>
      <c r="L18" s="14">
        <v>5625000</v>
      </c>
      <c r="M18" s="14">
        <v>5625000</v>
      </c>
      <c r="N18" s="14">
        <v>5625000</v>
      </c>
      <c r="O18" s="14">
        <v>5625000</v>
      </c>
      <c r="P18" s="14">
        <v>5625000</v>
      </c>
      <c r="Q18" s="14">
        <v>5625000</v>
      </c>
      <c r="R18" s="14">
        <v>5625000</v>
      </c>
      <c r="S18" s="14">
        <v>5625000</v>
      </c>
      <c r="T18" s="14">
        <v>5625000</v>
      </c>
      <c r="U18" s="14">
        <v>67500000</v>
      </c>
      <c r="V18" s="14">
        <v>3350000</v>
      </c>
      <c r="W18" s="14">
        <f>V18+U18</f>
        <v>70850000</v>
      </c>
    </row>
    <row r="19" spans="2:23">
      <c r="B19" s="9">
        <v>2</v>
      </c>
      <c r="G19" s="12" t="s">
        <v>115</v>
      </c>
      <c r="H19" s="13">
        <v>1</v>
      </c>
      <c r="I19" s="14">
        <f>U19/12</f>
        <v>4916666.6666666698</v>
      </c>
      <c r="J19" s="14">
        <v>4916666.6666666698</v>
      </c>
      <c r="K19" s="14">
        <v>4916666.6666666698</v>
      </c>
      <c r="L19" s="14">
        <v>4916666.6666666698</v>
      </c>
      <c r="M19" s="14">
        <v>4916666.6666666698</v>
      </c>
      <c r="N19" s="14">
        <v>4916666.6666666698</v>
      </c>
      <c r="O19" s="14">
        <v>4916666.6666666698</v>
      </c>
      <c r="P19" s="14">
        <v>4916666.6666666698</v>
      </c>
      <c r="Q19" s="14">
        <v>4916666.6666666698</v>
      </c>
      <c r="R19" s="14">
        <v>4916666.6666666698</v>
      </c>
      <c r="S19" s="14">
        <v>4916666.6666666698</v>
      </c>
      <c r="T19" s="14">
        <v>4916666.6666666698</v>
      </c>
      <c r="U19" s="14">
        <v>59000000</v>
      </c>
      <c r="V19" s="14">
        <v>3350000</v>
      </c>
      <c r="W19" s="14">
        <f>V19+U19</f>
        <v>62350000</v>
      </c>
    </row>
    <row r="20" spans="2:23">
      <c r="B20" s="9">
        <v>3</v>
      </c>
    </row>
    <row r="21" spans="2:23">
      <c r="B21" s="9">
        <v>4</v>
      </c>
    </row>
    <row r="22" spans="2:23">
      <c r="B22" s="9"/>
      <c r="F22" t="s">
        <v>116</v>
      </c>
    </row>
    <row r="23" spans="2:23">
      <c r="F23" t="s">
        <v>117</v>
      </c>
      <c r="G23">
        <v>4</v>
      </c>
    </row>
    <row r="24" spans="2:23">
      <c r="F24" t="s">
        <v>118</v>
      </c>
      <c r="G24">
        <v>4</v>
      </c>
    </row>
    <row r="25" spans="2:23">
      <c r="F25" t="s">
        <v>119</v>
      </c>
      <c r="G25" t="s">
        <v>120</v>
      </c>
    </row>
    <row r="26" spans="2:23">
      <c r="F26" t="s">
        <v>121</v>
      </c>
      <c r="G26" t="s">
        <v>122</v>
      </c>
      <c r="I26" t="s">
        <v>123</v>
      </c>
    </row>
    <row r="27" spans="2:23">
      <c r="F27" s="9" t="s">
        <v>124</v>
      </c>
    </row>
    <row r="28" spans="2:23">
      <c r="F28" t="s">
        <v>125</v>
      </c>
    </row>
    <row r="30" spans="2:23">
      <c r="F30" t="s">
        <v>126</v>
      </c>
    </row>
    <row r="31" spans="2:23">
      <c r="F31" t="s">
        <v>127</v>
      </c>
    </row>
    <row r="32" spans="2:23">
      <c r="F32" t="s">
        <v>128</v>
      </c>
    </row>
    <row r="34" spans="6:7">
      <c r="F34" t="s">
        <v>98</v>
      </c>
      <c r="G34" t="s">
        <v>129</v>
      </c>
    </row>
    <row r="36" spans="6:7">
      <c r="F36" t="s">
        <v>130</v>
      </c>
    </row>
    <row r="37" spans="6:7">
      <c r="F37" s="36" t="s">
        <v>131</v>
      </c>
    </row>
    <row r="38" spans="6:7">
      <c r="F38" t="s">
        <v>132</v>
      </c>
    </row>
    <row r="39" spans="6:7">
      <c r="F39" t="s">
        <v>133</v>
      </c>
    </row>
    <row r="40" spans="6:7">
      <c r="F40" t="s">
        <v>134</v>
      </c>
    </row>
    <row r="41" spans="6:7">
      <c r="F41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9"/>
  <sheetViews>
    <sheetView workbookViewId="0">
      <selection activeCell="F13" sqref="F13"/>
    </sheetView>
  </sheetViews>
  <sheetFormatPr defaultColWidth="9" defaultRowHeight="15"/>
  <cols>
    <col min="2" max="2" width="3.42578125" customWidth="1"/>
    <col min="3" max="6" width="20.42578125" customWidth="1"/>
    <col min="8" max="8" width="13.42578125" customWidth="1"/>
  </cols>
  <sheetData>
    <row r="2" spans="2:8">
      <c r="B2" s="56" t="s">
        <v>136</v>
      </c>
      <c r="C2" s="57"/>
      <c r="D2" s="57"/>
      <c r="E2" s="57"/>
      <c r="F2" s="57"/>
      <c r="G2" s="1"/>
    </row>
    <row r="3" spans="2:8">
      <c r="B3" s="2"/>
      <c r="C3" s="2" t="s">
        <v>137</v>
      </c>
      <c r="D3" s="2"/>
      <c r="E3" s="2"/>
      <c r="F3" s="2"/>
      <c r="G3" s="2"/>
    </row>
    <row r="4" spans="2:8" ht="30">
      <c r="B4" s="3" t="s">
        <v>138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</row>
    <row r="5" spans="2:8">
      <c r="B5" s="4">
        <v>1</v>
      </c>
      <c r="C5" s="5" t="s">
        <v>145</v>
      </c>
      <c r="D5" s="5"/>
      <c r="E5" s="5"/>
      <c r="F5" s="5"/>
      <c r="G5" s="5"/>
      <c r="H5" s="6">
        <v>45790</v>
      </c>
    </row>
    <row r="6" spans="2:8">
      <c r="B6" s="4">
        <v>2</v>
      </c>
      <c r="C6" s="5" t="s">
        <v>145</v>
      </c>
      <c r="D6" s="5"/>
      <c r="E6" s="5"/>
      <c r="F6" s="5"/>
      <c r="G6" s="5"/>
      <c r="H6" s="6">
        <v>45790</v>
      </c>
    </row>
    <row r="7" spans="2:8">
      <c r="B7" s="4">
        <v>3</v>
      </c>
      <c r="C7" s="5" t="s">
        <v>145</v>
      </c>
      <c r="D7" s="5"/>
      <c r="E7" s="5"/>
      <c r="F7" s="5"/>
      <c r="G7" s="5"/>
      <c r="H7" s="6">
        <v>45748</v>
      </c>
    </row>
    <row r="8" spans="2:8">
      <c r="B8" s="4">
        <v>4</v>
      </c>
      <c r="C8" s="5" t="s">
        <v>145</v>
      </c>
      <c r="D8" s="5"/>
      <c r="E8" s="5"/>
      <c r="F8" s="5"/>
      <c r="G8" s="5"/>
      <c r="H8" s="6">
        <v>45748</v>
      </c>
    </row>
    <row r="9" spans="2:8">
      <c r="B9" s="4">
        <v>5</v>
      </c>
      <c r="C9" s="5" t="s">
        <v>145</v>
      </c>
      <c r="D9" s="5"/>
      <c r="E9" s="5"/>
      <c r="F9" s="5"/>
      <c r="G9" s="5"/>
      <c r="H9" s="6">
        <v>45748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Timeline</vt:lpstr>
      <vt:lpstr>List Barang</vt:lpstr>
      <vt:lpstr>List tim</vt:lpstr>
      <vt:lpstr>List Mobil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Suciari Dewi</dc:creator>
  <cp:lastModifiedBy>Jamil Febrian</cp:lastModifiedBy>
  <dcterms:created xsi:type="dcterms:W3CDTF">2025-02-26T04:24:00Z</dcterms:created>
  <dcterms:modified xsi:type="dcterms:W3CDTF">2025-04-14T12:47:40Z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4466B0A611FC4B3C88BEF71C605B5F81_13</vt:lpwstr>
  </property>
  <property fmtid="{D5CDD505-2E9C-101B-9397-08002B2CF9AE}" pid="3" name="KSOProductBuildVer">
    <vt:lpwstr>1033-12.2.0.20782</vt:lpwstr>
  </property>
</Properties>
</file>