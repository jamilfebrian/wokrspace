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mil\TA\03. Sidang Komprehensif\"/>
    </mc:Choice>
  </mc:AlternateContent>
  <xr:revisionPtr revIDLastSave="0" documentId="13_ncr:1_{CA3D17AC-42F1-4166-A971-E64289415C16}" xr6:coauthVersionLast="45" xr6:coauthVersionMax="45" xr10:uidLastSave="{00000000-0000-0000-0000-000000000000}"/>
  <bookViews>
    <workbookView xWindow="-120" yWindow="-120" windowWidth="20730" windowHeight="11160" xr2:uid="{69F59747-929C-434D-8367-27A4B2ABF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28" i="1" l="1"/>
  <c r="H29" i="1"/>
  <c r="H30" i="1"/>
  <c r="H31" i="1"/>
  <c r="H32" i="1"/>
  <c r="H33" i="1"/>
  <c r="H34" i="1"/>
  <c r="H35" i="1"/>
  <c r="H28" i="1"/>
</calcChain>
</file>

<file path=xl/sharedStrings.xml><?xml version="1.0" encoding="utf-8"?>
<sst xmlns="http://schemas.openxmlformats.org/spreadsheetml/2006/main" count="7" uniqueCount="7">
  <si>
    <t>Prop</t>
  </si>
  <si>
    <t>Tegangan (V)</t>
  </si>
  <si>
    <t>Arus (A)</t>
  </si>
  <si>
    <t>Daya (W)</t>
  </si>
  <si>
    <r>
      <t>Thrust</t>
    </r>
    <r>
      <rPr>
        <sz val="12"/>
        <color theme="1"/>
        <rFont val="Times New Roman"/>
        <family val="1"/>
      </rPr>
      <t xml:space="preserve"> (gf)</t>
    </r>
  </si>
  <si>
    <t>RPM</t>
  </si>
  <si>
    <t>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</si>
</sst>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Hasil Pengujian Thrust Motor Propeller 1045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Sheet1!$H$4</c:f>
              <c:strCache>
                <c:ptCount val="1"/>
                <c:pt idx="0">
                  <c:v>Thrust (gf)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Sheet1!$H$5:$H$19</c:f>
              <c:numCache>
                <c:formatCode>General</c:formatCode>
                <c:ptCount val="15"/>
                <c:pt idx="0">
                  <c:v>113</c:v>
                </c:pt>
                <c:pt idx="1">
                  <c:v>218</c:v>
                </c:pt>
                <c:pt idx="2">
                  <c:v>305</c:v>
                </c:pt>
                <c:pt idx="3">
                  <c:v>399</c:v>
                </c:pt>
                <c:pt idx="4">
                  <c:v>455</c:v>
                </c:pt>
                <c:pt idx="5">
                  <c:v>554</c:v>
                </c:pt>
                <c:pt idx="6">
                  <c:v>638</c:v>
                </c:pt>
                <c:pt idx="7">
                  <c:v>695</c:v>
                </c:pt>
                <c:pt idx="8">
                  <c:v>775</c:v>
                </c:pt>
                <c:pt idx="9">
                  <c:v>890</c:v>
                </c:pt>
                <c:pt idx="10">
                  <c:v>916</c:v>
                </c:pt>
                <c:pt idx="11">
                  <c:v>996</c:v>
                </c:pt>
                <c:pt idx="12">
                  <c:v>1089</c:v>
                </c:pt>
                <c:pt idx="13">
                  <c:v>1116</c:v>
                </c:pt>
                <c:pt idx="14">
                  <c:v>1175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BF-4BEE-82D1-FEC0C7A254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772191"/>
        <c:axId val="185497551"/>
      </c:lineChart>
      <c:lineChart>
        <c:grouping val="standard"/>
        <c:varyColors val="0"/>
        <c:ser>
          <c:idx val="5"/>
          <c:order val="1"/>
          <c:tx>
            <c:strRef>
              <c:f>Sheet1!$I$4</c:f>
              <c:strCache>
                <c:ptCount val="1"/>
                <c:pt idx="0">
                  <c:v>RPM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Sheet1!$I$5:$I$19</c:f>
              <c:numCache>
                <c:formatCode>General</c:formatCode>
                <c:ptCount val="15"/>
                <c:pt idx="0">
                  <c:v>755</c:v>
                </c:pt>
                <c:pt idx="1">
                  <c:v>1504</c:v>
                </c:pt>
                <c:pt idx="2">
                  <c:v>2240</c:v>
                </c:pt>
                <c:pt idx="3">
                  <c:v>3035</c:v>
                </c:pt>
                <c:pt idx="4">
                  <c:v>3767</c:v>
                </c:pt>
                <c:pt idx="5">
                  <c:v>4532</c:v>
                </c:pt>
                <c:pt idx="6">
                  <c:v>5276</c:v>
                </c:pt>
                <c:pt idx="7">
                  <c:v>6015</c:v>
                </c:pt>
                <c:pt idx="8">
                  <c:v>6783</c:v>
                </c:pt>
                <c:pt idx="9">
                  <c:v>7517</c:v>
                </c:pt>
                <c:pt idx="10">
                  <c:v>8285</c:v>
                </c:pt>
                <c:pt idx="11">
                  <c:v>9042</c:v>
                </c:pt>
                <c:pt idx="12">
                  <c:v>9789</c:v>
                </c:pt>
                <c:pt idx="13">
                  <c:v>10555</c:v>
                </c:pt>
                <c:pt idx="14">
                  <c:v>11324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BF-4BEE-82D1-FEC0C7A25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898079"/>
        <c:axId val="1243971887"/>
      </c:lineChart>
      <c:catAx>
        <c:axId val="14477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Arus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97551"/>
        <c:crosses val="autoZero"/>
        <c:auto val="1"/>
        <c:lblAlgn val="ctr"/>
        <c:lblOffset val="100"/>
        <c:noMultiLvlLbl val="0"/>
      </c:catAx>
      <c:valAx>
        <c:axId val="1854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72191"/>
        <c:crosses val="autoZero"/>
        <c:crossBetween val="between"/>
      </c:valAx>
      <c:valAx>
        <c:axId val="1243971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98079"/>
        <c:crosses val="max"/>
        <c:crossBetween val="between"/>
      </c:valAx>
      <c:catAx>
        <c:axId val="1175898079"/>
        <c:scaling>
          <c:orientation val="minMax"/>
        </c:scaling>
        <c:delete val="1"/>
        <c:axPos val="b"/>
        <c:majorTickMark val="out"/>
        <c:minorTickMark val="none"/>
        <c:tickLblPos val="nextTo"/>
        <c:crossAx val="1243971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2</xdr:row>
      <xdr:rowOff>142875</xdr:rowOff>
    </xdr:from>
    <xdr:to>
      <xdr:col>16</xdr:col>
      <xdr:colOff>542925</xdr:colOff>
      <xdr:row>14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BBEEA0-4755-4EDA-B97E-B4D1FD411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A58C-D107-4710-873D-67E7181C46B2}">
  <dimension ref="D3:J35"/>
  <sheetViews>
    <sheetView tabSelected="1" topLeftCell="C20" zoomScale="115" zoomScaleNormal="115" workbookViewId="0">
      <selection activeCell="J28" sqref="J28"/>
    </sheetView>
  </sheetViews>
  <sheetFormatPr defaultRowHeight="15" x14ac:dyDescent="0.25"/>
  <sheetData>
    <row r="3" spans="4:9" ht="15.75" thickBot="1" x14ac:dyDescent="0.3"/>
    <row r="4" spans="4:9" ht="32.25" thickBot="1" x14ac:dyDescent="0.3">
      <c r="D4" s="1" t="s">
        <v>0</v>
      </c>
      <c r="E4" s="2" t="s">
        <v>1</v>
      </c>
      <c r="F4" s="2" t="s">
        <v>2</v>
      </c>
      <c r="G4" s="2" t="s">
        <v>3</v>
      </c>
      <c r="H4" s="3" t="s">
        <v>4</v>
      </c>
      <c r="I4" s="2" t="s">
        <v>5</v>
      </c>
    </row>
    <row r="5" spans="4:9" ht="16.5" thickBot="1" x14ac:dyDescent="0.3">
      <c r="D5" s="8">
        <v>1045</v>
      </c>
      <c r="E5" s="4">
        <v>16.64</v>
      </c>
      <c r="F5" s="4" t="s">
        <v>6</v>
      </c>
      <c r="G5" s="4">
        <v>16.64</v>
      </c>
      <c r="H5" s="4">
        <v>113</v>
      </c>
      <c r="I5" s="7">
        <v>755</v>
      </c>
    </row>
    <row r="6" spans="4:9" ht="16.5" thickBot="1" x14ac:dyDescent="0.3">
      <c r="D6" s="9"/>
      <c r="E6" s="4">
        <v>16.600000000000001</v>
      </c>
      <c r="F6" s="4">
        <v>2.1800000000000002</v>
      </c>
      <c r="G6" s="4">
        <v>33.799999999999997</v>
      </c>
      <c r="H6" s="4">
        <v>218</v>
      </c>
      <c r="I6" s="5">
        <v>1504</v>
      </c>
    </row>
    <row r="7" spans="4:9" ht="16.5" thickBot="1" x14ac:dyDescent="0.3">
      <c r="D7" s="9"/>
      <c r="E7" s="4">
        <v>16.579999999999998</v>
      </c>
      <c r="F7" s="4">
        <v>3</v>
      </c>
      <c r="G7" s="4">
        <v>49.5</v>
      </c>
      <c r="H7" s="4">
        <v>305</v>
      </c>
      <c r="I7" s="5">
        <v>2240</v>
      </c>
    </row>
    <row r="8" spans="4:9" ht="16.5" thickBot="1" x14ac:dyDescent="0.3">
      <c r="D8" s="9"/>
      <c r="E8" s="4">
        <v>16.53</v>
      </c>
      <c r="F8" s="4">
        <v>4.04</v>
      </c>
      <c r="G8" s="4">
        <v>66.7</v>
      </c>
      <c r="H8" s="4">
        <v>399</v>
      </c>
      <c r="I8" s="5">
        <v>3035</v>
      </c>
    </row>
    <row r="9" spans="4:9" ht="16.5" thickBot="1" x14ac:dyDescent="0.3">
      <c r="D9" s="9"/>
      <c r="E9" s="4">
        <v>16.5</v>
      </c>
      <c r="F9" s="4">
        <v>5</v>
      </c>
      <c r="G9" s="4">
        <v>82.3</v>
      </c>
      <c r="H9" s="4">
        <v>455</v>
      </c>
      <c r="I9" s="5">
        <v>3767</v>
      </c>
    </row>
    <row r="10" spans="4:9" ht="16.5" thickBot="1" x14ac:dyDescent="0.3">
      <c r="D10" s="9"/>
      <c r="E10" s="4">
        <v>16.47</v>
      </c>
      <c r="F10" s="4">
        <v>6.02</v>
      </c>
      <c r="G10" s="4">
        <v>99.1</v>
      </c>
      <c r="H10" s="4">
        <v>554</v>
      </c>
      <c r="I10" s="5">
        <v>4532</v>
      </c>
    </row>
    <row r="11" spans="4:9" ht="16.5" thickBot="1" x14ac:dyDescent="0.3">
      <c r="D11" s="9"/>
      <c r="E11" s="4">
        <v>16.43</v>
      </c>
      <c r="F11" s="4">
        <v>7.22</v>
      </c>
      <c r="G11" s="4">
        <v>118.6</v>
      </c>
      <c r="H11" s="4">
        <v>638</v>
      </c>
      <c r="I11" s="5">
        <v>5276</v>
      </c>
    </row>
    <row r="12" spans="4:9" ht="16.5" thickBot="1" x14ac:dyDescent="0.3">
      <c r="D12" s="9"/>
      <c r="E12" s="4">
        <v>16.41</v>
      </c>
      <c r="F12" s="4">
        <v>8.02</v>
      </c>
      <c r="G12" s="4">
        <v>131.6</v>
      </c>
      <c r="H12" s="4">
        <v>695</v>
      </c>
      <c r="I12" s="5">
        <v>6015</v>
      </c>
    </row>
    <row r="13" spans="4:9" ht="16.5" thickBot="1" x14ac:dyDescent="0.3">
      <c r="D13" s="9"/>
      <c r="E13" s="4">
        <v>16.39</v>
      </c>
      <c r="F13" s="4">
        <v>9.01</v>
      </c>
      <c r="G13" s="4">
        <v>147.6</v>
      </c>
      <c r="H13" s="4">
        <v>775</v>
      </c>
      <c r="I13" s="5">
        <v>6783</v>
      </c>
    </row>
    <row r="14" spans="4:9" ht="16.5" thickBot="1" x14ac:dyDescent="0.3">
      <c r="D14" s="9"/>
      <c r="E14" s="4">
        <v>16.34</v>
      </c>
      <c r="F14" s="4">
        <v>10.34</v>
      </c>
      <c r="G14" s="4">
        <v>169.2</v>
      </c>
      <c r="H14" s="4">
        <v>890</v>
      </c>
      <c r="I14" s="5">
        <v>7517</v>
      </c>
    </row>
    <row r="15" spans="4:9" ht="16.5" thickBot="1" x14ac:dyDescent="0.3">
      <c r="D15" s="9"/>
      <c r="E15" s="4">
        <v>16.329999999999998</v>
      </c>
      <c r="F15" s="4">
        <v>11.04</v>
      </c>
      <c r="G15" s="4">
        <v>180.2</v>
      </c>
      <c r="H15" s="4">
        <v>916</v>
      </c>
      <c r="I15" s="5">
        <v>8285</v>
      </c>
    </row>
    <row r="16" spans="4:9" ht="16.5" thickBot="1" x14ac:dyDescent="0.3">
      <c r="D16" s="9"/>
      <c r="E16" s="4">
        <v>16.3</v>
      </c>
      <c r="F16" s="4">
        <v>12.02</v>
      </c>
      <c r="G16" s="4">
        <v>195.9</v>
      </c>
      <c r="H16" s="4">
        <v>996</v>
      </c>
      <c r="I16" s="5">
        <v>9042</v>
      </c>
    </row>
    <row r="17" spans="4:10" ht="16.5" thickBot="1" x14ac:dyDescent="0.3">
      <c r="D17" s="9"/>
      <c r="E17" s="4">
        <v>16.27</v>
      </c>
      <c r="F17" s="4">
        <v>13.35</v>
      </c>
      <c r="G17" s="4">
        <v>217.2</v>
      </c>
      <c r="H17" s="4">
        <v>1089</v>
      </c>
      <c r="I17" s="5">
        <v>9789</v>
      </c>
    </row>
    <row r="18" spans="4:10" ht="16.5" thickBot="1" x14ac:dyDescent="0.3">
      <c r="D18" s="9"/>
      <c r="E18" s="4">
        <v>16.239999999999998</v>
      </c>
      <c r="F18" s="4">
        <v>14.07</v>
      </c>
      <c r="G18" s="4">
        <v>228.4</v>
      </c>
      <c r="H18" s="4">
        <v>1116</v>
      </c>
      <c r="I18" s="5">
        <v>10555</v>
      </c>
    </row>
    <row r="19" spans="4:10" ht="16.5" thickBot="1" x14ac:dyDescent="0.3">
      <c r="D19" s="10"/>
      <c r="E19" s="4">
        <v>16.21</v>
      </c>
      <c r="F19" s="4">
        <v>15.19</v>
      </c>
      <c r="G19" s="4">
        <v>246.2</v>
      </c>
      <c r="H19" s="4">
        <v>1175</v>
      </c>
      <c r="I19" s="5">
        <v>11324</v>
      </c>
    </row>
    <row r="27" spans="4:10" ht="15.75" thickBot="1" x14ac:dyDescent="0.3"/>
    <row r="28" spans="4:10" ht="16.5" thickBot="1" x14ac:dyDescent="0.3">
      <c r="E28" s="7">
        <v>200</v>
      </c>
      <c r="F28" s="2">
        <v>7.67</v>
      </c>
      <c r="H28" s="11">
        <f>E28/F28</f>
        <v>26.07561929595828</v>
      </c>
      <c r="J28">
        <f>SUM(H28:H35)/8</f>
        <v>26.099087012169363</v>
      </c>
    </row>
    <row r="29" spans="4:10" ht="16.5" thickBot="1" x14ac:dyDescent="0.3">
      <c r="E29" s="6">
        <v>400</v>
      </c>
      <c r="F29" s="4">
        <v>15.31</v>
      </c>
      <c r="H29" s="11">
        <f t="shared" ref="H29:H35" si="0">E29/F29</f>
        <v>26.126714565643368</v>
      </c>
    </row>
    <row r="30" spans="4:10" ht="16.5" thickBot="1" x14ac:dyDescent="0.3">
      <c r="E30" s="6">
        <v>600</v>
      </c>
      <c r="F30" s="4">
        <v>23.07</v>
      </c>
      <c r="H30" s="11">
        <f t="shared" si="0"/>
        <v>26.007802340702209</v>
      </c>
    </row>
    <row r="31" spans="4:10" ht="16.5" thickBot="1" x14ac:dyDescent="0.3">
      <c r="E31" s="6">
        <v>800</v>
      </c>
      <c r="F31" s="4">
        <v>30.78</v>
      </c>
      <c r="H31" s="11">
        <f t="shared" si="0"/>
        <v>25.990903183885639</v>
      </c>
    </row>
    <row r="32" spans="4:10" ht="16.5" thickBot="1" x14ac:dyDescent="0.3">
      <c r="E32" s="6">
        <v>1000</v>
      </c>
      <c r="F32" s="4">
        <v>38.33</v>
      </c>
      <c r="H32" s="11">
        <f t="shared" si="0"/>
        <v>26.089225150013046</v>
      </c>
    </row>
    <row r="33" spans="5:8" ht="16.5" thickBot="1" x14ac:dyDescent="0.3">
      <c r="E33" s="6">
        <v>1200</v>
      </c>
      <c r="F33" s="4">
        <v>46.04</v>
      </c>
      <c r="H33" s="11">
        <f t="shared" si="0"/>
        <v>26.064291920069504</v>
      </c>
    </row>
    <row r="34" spans="5:8" ht="16.5" thickBot="1" x14ac:dyDescent="0.3">
      <c r="E34" s="6">
        <v>1400</v>
      </c>
      <c r="F34" s="4">
        <v>53.4</v>
      </c>
      <c r="H34" s="11">
        <f t="shared" si="0"/>
        <v>26.217228464419478</v>
      </c>
    </row>
    <row r="35" spans="5:8" ht="16.5" thickBot="1" x14ac:dyDescent="0.3">
      <c r="E35" s="6">
        <v>1600</v>
      </c>
      <c r="F35" s="4">
        <v>61.02</v>
      </c>
      <c r="H35" s="11">
        <f t="shared" si="0"/>
        <v>26.220911176663389</v>
      </c>
    </row>
  </sheetData>
  <mergeCells count="1">
    <mergeCell ref="D5:D1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2024-02-04T07:35:48Z</dcterms:created>
  <dcterms:modified xsi:type="dcterms:W3CDTF">2024-02-07T07:09:23Z</dcterms:modified>
</cp:coreProperties>
</file>